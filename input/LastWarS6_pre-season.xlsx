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st War\"/>
    </mc:Choice>
  </mc:AlternateContent>
  <xr:revisionPtr revIDLastSave="0" documentId="13_ncr:1_{A7B9D633-07AC-4286-8514-BBB97A72F53A}" xr6:coauthVersionLast="47" xr6:coauthVersionMax="47" xr10:uidLastSave="{00000000-0000-0000-0000-000000000000}"/>
  <bookViews>
    <workbookView xWindow="0" yWindow="0" windowWidth="28800" windowHeight="23400" activeTab="2" xr2:uid="{6A24E1CA-0B5D-4A2D-BA57-3F10F6D6338D}"/>
  </bookViews>
  <sheets>
    <sheet name="overview" sheetId="3" r:id="rId1"/>
    <sheet name="Alliances" sheetId="1" r:id="rId2"/>
    <sheet name="Players" sheetId="2" r:id="rId3"/>
    <sheet name="pacts" sheetId="4" r:id="rId4"/>
    <sheet name="cities" sheetId="5" r:id="rId5"/>
    <sheet name="Influence points" sheetId="6" r:id="rId6"/>
  </sheets>
  <definedNames>
    <definedName name="_xlnm._FilterDatabase" localSheetId="5" hidden="1">'Influence points'!$B$1:$R$25</definedName>
    <definedName name="_xlnm._FilterDatabase" localSheetId="0" hidden="1">overview!$Q$3:$U$163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8" i="6" l="1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" i="6"/>
  <c r="L3" i="6"/>
  <c r="L4" i="6"/>
  <c r="L6" i="6"/>
  <c r="L9" i="6"/>
  <c r="L5" i="6"/>
  <c r="L7" i="6"/>
  <c r="L8" i="6"/>
  <c r="L19" i="6"/>
  <c r="L12" i="6"/>
  <c r="L14" i="6"/>
  <c r="L13" i="6"/>
  <c r="L11" i="6"/>
  <c r="L10" i="6"/>
  <c r="L16" i="6"/>
  <c r="L17" i="6"/>
  <c r="L20" i="6"/>
  <c r="L15" i="6"/>
  <c r="L18" i="6"/>
  <c r="L21" i="6"/>
  <c r="L25" i="6"/>
  <c r="L23" i="6"/>
  <c r="L22" i="6"/>
  <c r="L24" i="6"/>
  <c r="L2" i="6"/>
  <c r="K3" i="6"/>
  <c r="K4" i="6"/>
  <c r="K6" i="6"/>
  <c r="K9" i="6"/>
  <c r="K5" i="6"/>
  <c r="K7" i="6"/>
  <c r="K8" i="6"/>
  <c r="K19" i="6"/>
  <c r="K12" i="6"/>
  <c r="K14" i="6"/>
  <c r="K13" i="6"/>
  <c r="K11" i="6"/>
  <c r="K10" i="6"/>
  <c r="K16" i="6"/>
  <c r="K17" i="6"/>
  <c r="K20" i="6"/>
  <c r="K15" i="6"/>
  <c r="K18" i="6"/>
  <c r="K21" i="6"/>
  <c r="K25" i="6"/>
  <c r="K23" i="6"/>
  <c r="K22" i="6"/>
  <c r="K24" i="6"/>
  <c r="K2" i="6"/>
  <c r="F14" i="6"/>
  <c r="F3" i="6"/>
  <c r="F4" i="6"/>
  <c r="F5" i="6"/>
  <c r="F6" i="6"/>
  <c r="F9" i="6"/>
  <c r="F8" i="6"/>
  <c r="F10" i="6"/>
  <c r="F20" i="6"/>
  <c r="F18" i="6"/>
  <c r="F7" i="6"/>
  <c r="F12" i="6"/>
  <c r="F23" i="6"/>
  <c r="F21" i="6"/>
  <c r="F16" i="6"/>
  <c r="F13" i="6"/>
  <c r="F24" i="6"/>
  <c r="F19" i="6"/>
  <c r="F25" i="6"/>
  <c r="F17" i="6"/>
  <c r="F2" i="6"/>
  <c r="C25" i="5"/>
  <c r="D25" i="5"/>
  <c r="B25" i="5"/>
  <c r="E25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4" i="5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37" i="3"/>
  <c r="R27" i="6" l="1"/>
  <c r="B26" i="5"/>
</calcChain>
</file>

<file path=xl/sharedStrings.xml><?xml version="1.0" encoding="utf-8"?>
<sst xmlns="http://schemas.openxmlformats.org/spreadsheetml/2006/main" count="1665" uniqueCount="354">
  <si>
    <t>Server</t>
  </si>
  <si>
    <t>Alliance</t>
  </si>
  <si>
    <t>Strength</t>
  </si>
  <si>
    <t>7yq</t>
  </si>
  <si>
    <t>ZnR</t>
  </si>
  <si>
    <t>wDw</t>
  </si>
  <si>
    <t>xnt</t>
  </si>
  <si>
    <t>RbxD</t>
  </si>
  <si>
    <t>RAz</t>
  </si>
  <si>
    <t>nKl</t>
  </si>
  <si>
    <t>Ods</t>
  </si>
  <si>
    <t>ouk</t>
  </si>
  <si>
    <t>JcG</t>
  </si>
  <si>
    <t>Player</t>
  </si>
  <si>
    <t>Kevnin C</t>
  </si>
  <si>
    <t>SHIN太郎</t>
  </si>
  <si>
    <t>DylanLam</t>
  </si>
  <si>
    <t>Justinko</t>
  </si>
  <si>
    <t>抬萬郎</t>
  </si>
  <si>
    <t>Ninoニノ</t>
  </si>
  <si>
    <t>欧欧小公主</t>
  </si>
  <si>
    <t>atsukichi</t>
  </si>
  <si>
    <t>あんじまる Anji</t>
  </si>
  <si>
    <t>リュうち</t>
  </si>
  <si>
    <t>SW3</t>
  </si>
  <si>
    <t>TUW</t>
  </si>
  <si>
    <t>A21</t>
  </si>
  <si>
    <t>daY</t>
  </si>
  <si>
    <t>TDOD</t>
  </si>
  <si>
    <t>FGX</t>
  </si>
  <si>
    <t>Vga</t>
  </si>
  <si>
    <t>FphX</t>
  </si>
  <si>
    <t>G1x</t>
  </si>
  <si>
    <t>9QR</t>
  </si>
  <si>
    <t>Nassai75</t>
  </si>
  <si>
    <t>AMEER1991</t>
  </si>
  <si>
    <t>D乇ΛʟƬ卄ˢʷᶾ</t>
  </si>
  <si>
    <t>Schorschi81</t>
  </si>
  <si>
    <t>Rundstr3ck</t>
  </si>
  <si>
    <t>schnoge ˢʷᶾ</t>
  </si>
  <si>
    <t>matte82</t>
  </si>
  <si>
    <t>ÂRCH</t>
  </si>
  <si>
    <t>ᰔ Rose Kitty ᰔ</t>
  </si>
  <si>
    <t>The Treee</t>
  </si>
  <si>
    <t>P2x</t>
  </si>
  <si>
    <t>noel</t>
  </si>
  <si>
    <t>XXX</t>
  </si>
  <si>
    <t>RvE</t>
  </si>
  <si>
    <t>WOFC</t>
  </si>
  <si>
    <t>MF1</t>
  </si>
  <si>
    <t>L6Q</t>
  </si>
  <si>
    <t>IRXN</t>
  </si>
  <si>
    <t>SMOL</t>
  </si>
  <si>
    <t>L8W</t>
  </si>
  <si>
    <t>PBC10</t>
  </si>
  <si>
    <t>Andy22yes</t>
  </si>
  <si>
    <t>KaiserDB 카이저</t>
  </si>
  <si>
    <t>Syän</t>
  </si>
  <si>
    <t>Làla</t>
  </si>
  <si>
    <t>JC24VBlackwings</t>
  </si>
  <si>
    <t>HellCatMT</t>
  </si>
  <si>
    <t>Førge</t>
  </si>
  <si>
    <t>Lana 바나나</t>
  </si>
  <si>
    <t>Grimmsho</t>
  </si>
  <si>
    <t>lmo</t>
  </si>
  <si>
    <t>CLBs</t>
  </si>
  <si>
    <t>Neij</t>
  </si>
  <si>
    <t>TAOz</t>
  </si>
  <si>
    <t>Olb</t>
  </si>
  <si>
    <t>o41</t>
  </si>
  <si>
    <t>CGod</t>
  </si>
  <si>
    <t>LaPs</t>
  </si>
  <si>
    <t>ZOED</t>
  </si>
  <si>
    <t>CiEO</t>
  </si>
  <si>
    <t>Jun3 3333</t>
  </si>
  <si>
    <t>ぴきぴきん</t>
  </si>
  <si>
    <t>ぽるーらporura7o</t>
  </si>
  <si>
    <t>ヴァンギ</t>
  </si>
  <si>
    <t>ふりーまん123</t>
  </si>
  <si>
    <t>6Vぺらっぷ</t>
  </si>
  <si>
    <t>Nej</t>
  </si>
  <si>
    <t>chirochiro</t>
  </si>
  <si>
    <t>けんズKenzu</t>
  </si>
  <si>
    <t>トラっぴぃ</t>
  </si>
  <si>
    <t>club 4ce</t>
  </si>
  <si>
    <t>VSC</t>
  </si>
  <si>
    <t>7NA</t>
  </si>
  <si>
    <t>dFa</t>
  </si>
  <si>
    <t>CNFX</t>
  </si>
  <si>
    <t>y6r</t>
  </si>
  <si>
    <t>kza</t>
  </si>
  <si>
    <t>RiiP</t>
  </si>
  <si>
    <t>r5t</t>
  </si>
  <si>
    <t>wf3</t>
  </si>
  <si>
    <t>MfH</t>
  </si>
  <si>
    <t>AE 21</t>
  </si>
  <si>
    <t>EskiKafa</t>
  </si>
  <si>
    <t>Noxierᵛˢᶜ</t>
  </si>
  <si>
    <t>For sale van</t>
  </si>
  <si>
    <t>MooseKing</t>
  </si>
  <si>
    <t>DizzyyySama</t>
  </si>
  <si>
    <t>Kalitix 61</t>
  </si>
  <si>
    <t>mmlookh77</t>
  </si>
  <si>
    <t>Jaguar151ᵛˢᶜ</t>
  </si>
  <si>
    <t>C i s c o</t>
  </si>
  <si>
    <t>Hpn</t>
  </si>
  <si>
    <t>kb7</t>
  </si>
  <si>
    <t>enc</t>
  </si>
  <si>
    <t>Ne1</t>
  </si>
  <si>
    <t>GP7s</t>
  </si>
  <si>
    <t>kb2U</t>
  </si>
  <si>
    <t>UOP</t>
  </si>
  <si>
    <t>sru</t>
  </si>
  <si>
    <t>chup</t>
  </si>
  <si>
    <t>MGMS</t>
  </si>
  <si>
    <t>ケンタロ軍曹</t>
  </si>
  <si>
    <t>Chil KOMA</t>
  </si>
  <si>
    <t>真白かぐや</t>
  </si>
  <si>
    <t>偽りNeo7d Max</t>
  </si>
  <si>
    <t>Bi-7k Max</t>
  </si>
  <si>
    <t>AM11時</t>
  </si>
  <si>
    <t>Hysteric Taa</t>
  </si>
  <si>
    <t>ドランプ</t>
  </si>
  <si>
    <t>ᴺᵉˡバケパ</t>
  </si>
  <si>
    <t>K A O L</t>
  </si>
  <si>
    <t>DRI</t>
  </si>
  <si>
    <t>WaZ</t>
  </si>
  <si>
    <t>ToB</t>
  </si>
  <si>
    <t>Het</t>
  </si>
  <si>
    <t>ToS</t>
  </si>
  <si>
    <t>SP4G</t>
  </si>
  <si>
    <t>HOKs</t>
  </si>
  <si>
    <t>aWa</t>
  </si>
  <si>
    <t>YMH</t>
  </si>
  <si>
    <t>VGL</t>
  </si>
  <si>
    <t>Chicko Raptor</t>
  </si>
  <si>
    <t>NO MERCY</t>
  </si>
  <si>
    <t>Cpt Jos Sparrow MD</t>
  </si>
  <si>
    <t>Arash1810</t>
  </si>
  <si>
    <t>JAY DOG PURGE RAPTOR</t>
  </si>
  <si>
    <t>Byrclat</t>
  </si>
  <si>
    <t>Da De</t>
  </si>
  <si>
    <t>silendan</t>
  </si>
  <si>
    <t>sςɑʀƒɑςє</t>
  </si>
  <si>
    <t>Rimvis 4 S4l3</t>
  </si>
  <si>
    <t>F6M</t>
  </si>
  <si>
    <t>BFC</t>
  </si>
  <si>
    <t>Rxo</t>
  </si>
  <si>
    <t>ksM</t>
  </si>
  <si>
    <t>P3V</t>
  </si>
  <si>
    <t>yeet</t>
  </si>
  <si>
    <t xml:space="preserve">THa </t>
  </si>
  <si>
    <t>pm0</t>
  </si>
  <si>
    <t>W3E</t>
  </si>
  <si>
    <t>康康不康康</t>
  </si>
  <si>
    <t>冰封之魂Ed</t>
  </si>
  <si>
    <t>伍佰不伍佰</t>
  </si>
  <si>
    <t>Donald羊羊</t>
  </si>
  <si>
    <t>დcelicaფ</t>
  </si>
  <si>
    <t>aaaaaahhhh</t>
  </si>
  <si>
    <t>亨亨汪汪</t>
  </si>
  <si>
    <t>特兰克斯C</t>
  </si>
  <si>
    <t>剛猛鎖很大</t>
  </si>
  <si>
    <t>星羊羊</t>
  </si>
  <si>
    <t>Zeilenbeschriftungen</t>
  </si>
  <si>
    <t>Gesamtergebnis</t>
  </si>
  <si>
    <t>Summe von Strength</t>
  </si>
  <si>
    <t>#</t>
  </si>
  <si>
    <t>nKI</t>
  </si>
  <si>
    <t>ひろすすず</t>
  </si>
  <si>
    <t>Pickles A</t>
  </si>
  <si>
    <t>Jfang</t>
  </si>
  <si>
    <t>kilaU</t>
  </si>
  <si>
    <t>そーたろー3歳</t>
  </si>
  <si>
    <t>幸運MaiMai</t>
  </si>
  <si>
    <t>深淵三代目</t>
  </si>
  <si>
    <t>GunShiriᶻⁿᴿ</t>
  </si>
  <si>
    <t>Nova祕影</t>
  </si>
  <si>
    <t>onigiriおにぎり</t>
  </si>
  <si>
    <t>Pavloˢʷᶾ</t>
  </si>
  <si>
    <t>Marius ˢʷᶾ Bear</t>
  </si>
  <si>
    <t>Pozza77 IBM 4ever</t>
  </si>
  <si>
    <t>MrFlupp</t>
  </si>
  <si>
    <t>ÄÄÄRRICH ˢʷᶾ</t>
  </si>
  <si>
    <t>SNΛKE ˢʷᶾ</t>
  </si>
  <si>
    <t>ATILLA79</t>
  </si>
  <si>
    <t>Fiftyfiff</t>
  </si>
  <si>
    <t>D3cember</t>
  </si>
  <si>
    <t>BuQht</t>
  </si>
  <si>
    <t>이  방  원WON</t>
  </si>
  <si>
    <t>papajon1000</t>
  </si>
  <si>
    <t>MinGod</t>
  </si>
  <si>
    <t>Choppa noona</t>
  </si>
  <si>
    <t>Cilad 다뿌셔</t>
  </si>
  <si>
    <t>Enigma Incarnate</t>
  </si>
  <si>
    <t>Multiply</t>
  </si>
  <si>
    <t>TDeBank</t>
  </si>
  <si>
    <t>매트 Mᴀᴛᴛ</t>
  </si>
  <si>
    <t>Yelloworange 옐로</t>
  </si>
  <si>
    <t>Masaちゃん</t>
  </si>
  <si>
    <t>ヒナ吉</t>
  </si>
  <si>
    <t>Kino P</t>
  </si>
  <si>
    <t>マ ッ キー</t>
  </si>
  <si>
    <t>かき揚げ餅</t>
  </si>
  <si>
    <t>Shu-papa</t>
  </si>
  <si>
    <t>ふなっしー君</t>
  </si>
  <si>
    <t>はやぽす</t>
  </si>
  <si>
    <t>ちゃんくぅ</t>
  </si>
  <si>
    <t>Justice0921</t>
  </si>
  <si>
    <t>声 SeS 声</t>
  </si>
  <si>
    <t>AliKocᵛˢᶜ</t>
  </si>
  <si>
    <t>Black Scorpio21</t>
  </si>
  <si>
    <t>Acar06</t>
  </si>
  <si>
    <t>YAVUZ435</t>
  </si>
  <si>
    <t>FapMaster</t>
  </si>
  <si>
    <t>亗 DAYI 44 亗</t>
  </si>
  <si>
    <t>RS 5</t>
  </si>
  <si>
    <t>ALEX DP</t>
  </si>
  <si>
    <t>MΛSTΞR24</t>
  </si>
  <si>
    <t>6gn</t>
  </si>
  <si>
    <t>荒巻イカ</t>
  </si>
  <si>
    <t>すべらないLAL</t>
  </si>
  <si>
    <t>tomoshige</t>
  </si>
  <si>
    <t>ArthurGoPur</t>
  </si>
  <si>
    <t>真白のさぶ茶</t>
  </si>
  <si>
    <t>MaG MottaN</t>
  </si>
  <si>
    <t>スンチャパ</t>
  </si>
  <si>
    <t>YummyLucente</t>
  </si>
  <si>
    <t>ナナハチ2</t>
  </si>
  <si>
    <t>変態軍曹Max</t>
  </si>
  <si>
    <t>ZeusByk</t>
  </si>
  <si>
    <t>jesus66</t>
  </si>
  <si>
    <t>AlNuhayyan</t>
  </si>
  <si>
    <t>SINA</t>
  </si>
  <si>
    <t>Queen Rea</t>
  </si>
  <si>
    <t>LC SMITH</t>
  </si>
  <si>
    <t>Huazzy</t>
  </si>
  <si>
    <t>Sugar 水</t>
  </si>
  <si>
    <t>KDL1973</t>
  </si>
  <si>
    <t>LIST</t>
  </si>
  <si>
    <t>SoulYogy</t>
  </si>
  <si>
    <t>KOZAK 1</t>
  </si>
  <si>
    <t>Sanro D</t>
  </si>
  <si>
    <t>KakachiBoy</t>
  </si>
  <si>
    <t>想要釣大魚</t>
  </si>
  <si>
    <t>殺殺懶羊羊</t>
  </si>
  <si>
    <t>Quattro大尉</t>
  </si>
  <si>
    <t>G C</t>
  </si>
  <si>
    <t>寶妹色羊羊</t>
  </si>
  <si>
    <t>sss21</t>
  </si>
  <si>
    <t>(Leer)</t>
  </si>
  <si>
    <r>
      <t xml:space="preserve">Strength by </t>
    </r>
    <r>
      <rPr>
        <sz val="11"/>
        <color rgb="FFFF0000"/>
        <rFont val="Aptos Narrow"/>
        <family val="2"/>
        <scheme val="minor"/>
      </rPr>
      <t>Top 20</t>
    </r>
    <r>
      <rPr>
        <sz val="11"/>
        <color theme="1"/>
        <rFont val="Aptos Narrow"/>
        <family val="2"/>
        <scheme val="minor"/>
      </rPr>
      <t xml:space="preserve"> THP</t>
    </r>
  </si>
  <si>
    <r>
      <t xml:space="preserve">Strength by </t>
    </r>
    <r>
      <rPr>
        <sz val="11"/>
        <color rgb="FFFF0000"/>
        <rFont val="Aptos Narrow"/>
        <family val="2"/>
        <scheme val="minor"/>
      </rPr>
      <t>Top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 xml:space="preserve"> THP</t>
    </r>
  </si>
  <si>
    <t>Allianz</t>
  </si>
  <si>
    <t>Top Alliances by Top 20 THP</t>
  </si>
  <si>
    <t>Max. von Server</t>
  </si>
  <si>
    <t>Strength by Top 10 Alliances</t>
  </si>
  <si>
    <t>Anzahl von Player</t>
  </si>
  <si>
    <t># of Players in Top 20</t>
  </si>
  <si>
    <t>% of server Top 20 THP</t>
  </si>
  <si>
    <t xml:space="preserve">Nej </t>
  </si>
  <si>
    <t>0lb</t>
  </si>
  <si>
    <t>HPN</t>
  </si>
  <si>
    <t>Imo (603)</t>
  </si>
  <si>
    <t>o41 (603)</t>
  </si>
  <si>
    <t>CLBs (603)</t>
  </si>
  <si>
    <t>Imo</t>
  </si>
  <si>
    <t>ToS (662)</t>
  </si>
  <si>
    <t>HOKs (662)</t>
  </si>
  <si>
    <t>Cgod</t>
  </si>
  <si>
    <t>SP4G (662)</t>
  </si>
  <si>
    <t>-</t>
  </si>
  <si>
    <t>CJg</t>
  </si>
  <si>
    <t>YEGR</t>
  </si>
  <si>
    <t>Nej (603)</t>
  </si>
  <si>
    <t>YMH (662)</t>
  </si>
  <si>
    <t>ToB (662)</t>
  </si>
  <si>
    <t>DRI (662)</t>
  </si>
  <si>
    <t>Het (662)</t>
  </si>
  <si>
    <t>o41 ( 603)</t>
  </si>
  <si>
    <t>TAOz (603)</t>
  </si>
  <si>
    <t>CNFX (626)</t>
  </si>
  <si>
    <t>1pm</t>
  </si>
  <si>
    <t>8:45am</t>
  </si>
  <si>
    <t>8:25am</t>
  </si>
  <si>
    <t>7pm</t>
  </si>
  <si>
    <t>3:20pm</t>
  </si>
  <si>
    <t>11:45am</t>
  </si>
  <si>
    <t>2:45pm</t>
  </si>
  <si>
    <t>7NA (626)</t>
  </si>
  <si>
    <t>DE6 (603)</t>
  </si>
  <si>
    <t>kza (626)</t>
  </si>
  <si>
    <t>9:15pm</t>
  </si>
  <si>
    <t>ZKD</t>
  </si>
  <si>
    <t xml:space="preserve">CGod </t>
  </si>
  <si>
    <t>3:45pm</t>
  </si>
  <si>
    <t>10:15am</t>
  </si>
  <si>
    <t>2:30pm</t>
  </si>
  <si>
    <t>2:35pm</t>
  </si>
  <si>
    <t>9:50am</t>
  </si>
  <si>
    <t>10:10am</t>
  </si>
  <si>
    <t>lsb (603)</t>
  </si>
  <si>
    <t>lsb</t>
  </si>
  <si>
    <t>Server 638 cities</t>
  </si>
  <si>
    <t>City Level 1</t>
  </si>
  <si>
    <t>City Level 2</t>
  </si>
  <si>
    <t>City Level 3</t>
  </si>
  <si>
    <t>Influence Points</t>
  </si>
  <si>
    <t>c5k</t>
  </si>
  <si>
    <t>5PCA</t>
  </si>
  <si>
    <t>7evd</t>
  </si>
  <si>
    <t>e2a</t>
  </si>
  <si>
    <t>IPD</t>
  </si>
  <si>
    <t>lejc</t>
  </si>
  <si>
    <t>nik9</t>
  </si>
  <si>
    <t>7on</t>
  </si>
  <si>
    <t>8:40am</t>
  </si>
  <si>
    <t>r5t (626)</t>
  </si>
  <si>
    <t>11pm</t>
  </si>
  <si>
    <t>6:40am</t>
  </si>
  <si>
    <t>Faction</t>
  </si>
  <si>
    <t xml:space="preserve">Server </t>
  </si>
  <si>
    <t>Blue</t>
  </si>
  <si>
    <t>Green</t>
  </si>
  <si>
    <t>Influence post Sanctuaries</t>
  </si>
  <si>
    <t>8:25pm</t>
  </si>
  <si>
    <t>8:50am</t>
  </si>
  <si>
    <t>6:55am</t>
  </si>
  <si>
    <t>VSC (626)</t>
  </si>
  <si>
    <t>influence points pre Sanctuary</t>
  </si>
  <si>
    <t>delta</t>
  </si>
  <si>
    <t>9:40pm</t>
  </si>
  <si>
    <t>7:25pm</t>
  </si>
  <si>
    <t>DE6</t>
  </si>
  <si>
    <t>WAZ</t>
  </si>
  <si>
    <t>10:20pm</t>
  </si>
  <si>
    <t>&lt;</t>
  </si>
  <si>
    <t>13.06.2026</t>
  </si>
  <si>
    <t>17.06.2026 16:00</t>
  </si>
  <si>
    <t>17.06.2026 08:00</t>
  </si>
  <si>
    <t>17.06.2026 00:00</t>
  </si>
  <si>
    <t>7:35pm</t>
  </si>
  <si>
    <t>lose 1 Sanctuary</t>
  </si>
  <si>
    <t>lose 2 sanctuaries</t>
  </si>
  <si>
    <t>11:25pm</t>
  </si>
  <si>
    <t>20.06.2026 08:00</t>
  </si>
  <si>
    <t>20.06.2026 17:00</t>
  </si>
  <si>
    <t>20.06.2026 00:00</t>
  </si>
  <si>
    <t>07:45am</t>
  </si>
  <si>
    <t>5:15pm</t>
  </si>
  <si>
    <t>11:40pm</t>
  </si>
  <si>
    <t>24.06.2026 16:00</t>
  </si>
  <si>
    <t>24.06.2026 00:00</t>
  </si>
  <si>
    <t>THP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</si>
</sst>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3" fontId="0" fillId="2" borderId="0" xfId="0" applyNumberFormat="1" applyFill="1"/>
    <xf numFmtId="0" fontId="0" fillId="2" borderId="0" xfId="0" applyFill="1"/>
    <xf numFmtId="0" fontId="0" fillId="0" borderId="0" xfId="0" applyAlignment="1">
      <alignment horizontal="right"/>
    </xf>
    <xf numFmtId="10" fontId="0" fillId="0" borderId="0" xfId="0" applyNumberFormat="1"/>
    <xf numFmtId="10" fontId="0" fillId="2" borderId="0" xfId="0" applyNumberFormat="1" applyFill="1"/>
    <xf numFmtId="0" fontId="0" fillId="3" borderId="0" xfId="0" applyFill="1" applyAlignment="1">
      <alignment horizontal="left"/>
    </xf>
    <xf numFmtId="3" fontId="0" fillId="3" borderId="0" xfId="0" applyNumberFormat="1" applyFill="1"/>
    <xf numFmtId="0" fontId="0" fillId="4" borderId="0" xfId="0" applyFill="1" applyAlignment="1">
      <alignment horizontal="left"/>
    </xf>
    <xf numFmtId="3" fontId="0" fillId="4" borderId="0" xfId="0" applyNumberFormat="1" applyFill="1"/>
    <xf numFmtId="0" fontId="0" fillId="3" borderId="0" xfId="0" applyFill="1"/>
    <xf numFmtId="10" fontId="0" fillId="3" borderId="0" xfId="0" applyNumberFormat="1" applyFill="1"/>
    <xf numFmtId="0" fontId="0" fillId="4" borderId="0" xfId="0" applyFill="1"/>
    <xf numFmtId="10" fontId="0" fillId="4" borderId="0" xfId="0" applyNumberFormat="1" applyFill="1"/>
    <xf numFmtId="0" fontId="2" fillId="5" borderId="0" xfId="0" applyFont="1" applyFill="1" applyAlignment="1">
      <alignment horizontal="left"/>
    </xf>
    <xf numFmtId="0" fontId="0" fillId="5" borderId="0" xfId="0" applyFill="1"/>
    <xf numFmtId="0" fontId="3" fillId="5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164" fontId="0" fillId="0" borderId="0" xfId="0" applyNumberFormat="1"/>
    <xf numFmtId="164" fontId="0" fillId="3" borderId="0" xfId="0" applyNumberFormat="1" applyFill="1"/>
    <xf numFmtId="164" fontId="0" fillId="6" borderId="0" xfId="0" applyNumberFormat="1" applyFill="1"/>
    <xf numFmtId="0" fontId="0" fillId="6" borderId="0" xfId="0" applyFill="1"/>
    <xf numFmtId="0" fontId="3" fillId="6" borderId="0" xfId="0" applyFont="1" applyFill="1"/>
    <xf numFmtId="0" fontId="2" fillId="6" borderId="0" xfId="0" quotePrefix="1" applyFont="1" applyFill="1" applyAlignment="1">
      <alignment horizontal="center"/>
    </xf>
    <xf numFmtId="0" fontId="3" fillId="3" borderId="0" xfId="0" applyFont="1" applyFill="1"/>
    <xf numFmtId="0" fontId="3" fillId="6" borderId="0" xfId="0" quotePrefix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3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3" fontId="0" fillId="0" borderId="9" xfId="0" applyNumberFormat="1" applyBorder="1"/>
    <xf numFmtId="0" fontId="3" fillId="6" borderId="0" xfId="0" applyFont="1" applyFill="1" applyAlignment="1">
      <alignment horizontal="center"/>
    </xf>
    <xf numFmtId="0" fontId="3" fillId="0" borderId="0" xfId="0" quotePrefix="1" applyFont="1" applyAlignment="1">
      <alignment horizontal="center"/>
    </xf>
    <xf numFmtId="0" fontId="3" fillId="6" borderId="0" xfId="0" quotePrefix="1" applyFont="1" applyFill="1" applyAlignment="1">
      <alignment horizontal="left"/>
    </xf>
    <xf numFmtId="0" fontId="0" fillId="7" borderId="0" xfId="0" applyFill="1"/>
    <xf numFmtId="0" fontId="0" fillId="8" borderId="0" xfId="0" applyFill="1"/>
    <xf numFmtId="3" fontId="0" fillId="8" borderId="0" xfId="0" applyNumberFormat="1" applyFill="1"/>
    <xf numFmtId="3" fontId="0" fillId="7" borderId="0" xfId="0" applyNumberForma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</cellXfs>
  <cellStyles count="1">
    <cellStyle name="Standard" xfId="0" builtinId="0"/>
  </cellStyles>
  <dxfs count="10"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 Arendt" refreshedDate="46139.369886574073" createdVersion="8" refreshedVersion="8" minRefreshableVersion="3" recordCount="80" xr:uid="{F57EA3DC-3AFC-472F-9836-C28C68F3912B}">
  <cacheSource type="worksheet">
    <worksheetSource ref="A1:C81" sheet="Alliances"/>
  </cacheSource>
  <cacheFields count="3">
    <cacheField name="Server" numFmtId="0">
      <sharedItems containsSemiMixedTypes="0" containsString="0" containsNumber="1" containsInteger="1" minValue="556" maxValue="667" count="8">
        <n v="556"/>
        <n v="573"/>
        <n v="598"/>
        <n v="603"/>
        <n v="626"/>
        <n v="638"/>
        <n v="662"/>
        <n v="667"/>
      </sharedItems>
    </cacheField>
    <cacheField name="Alliance" numFmtId="0">
      <sharedItems containsMixedTypes="1" containsNumber="1" containsInteger="1" minValue="132" maxValue="132"/>
    </cacheField>
    <cacheField name="Strength" numFmtId="3">
      <sharedItems containsSemiMixedTypes="0" containsString="0" containsNumber="1" containsInteger="1" minValue="483512162" maxValue="288062621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 Arendt" refreshedDate="46139.423332523147" createdVersion="8" refreshedVersion="8" minRefreshableVersion="3" recordCount="161" xr:uid="{DAD1B251-0E2F-41DF-A043-F6602B232859}">
  <cacheSource type="worksheet">
    <worksheetSource ref="A1:D1048576" sheet="Players"/>
  </cacheSource>
  <cacheFields count="4">
    <cacheField name="Server" numFmtId="0">
      <sharedItems containsString="0" containsBlank="1" containsNumber="1" containsInteger="1" minValue="556" maxValue="667" count="9">
        <n v="556"/>
        <n v="573"/>
        <n v="598"/>
        <n v="603"/>
        <n v="626"/>
        <n v="638"/>
        <n v="662"/>
        <n v="667"/>
        <m/>
      </sharedItems>
    </cacheField>
    <cacheField name="Alliance" numFmtId="0">
      <sharedItems containsBlank="1" containsMixedTypes="1" containsNumber="1" containsInteger="1" minValue="208" maxValue="208" count="37">
        <s v="7yq"/>
        <n v="208"/>
        <s v="wDw"/>
        <s v="nKI"/>
        <s v="ZnR"/>
        <s v="xnt"/>
        <s v="A21"/>
        <s v="SW3"/>
        <s v="TUW"/>
        <s v="FGX"/>
        <s v="XXX"/>
        <s v="P2x"/>
        <s v="noel"/>
        <m/>
        <s v="lmo"/>
        <s v="CLBs"/>
        <s v="Nej"/>
        <s v="o41"/>
        <s v="VSC"/>
        <s v="7NA"/>
        <s v="kza"/>
        <s v="dFa"/>
        <s v="y6r"/>
        <s v="kb7"/>
        <s v="Hpn"/>
        <s v="enc"/>
        <s v="Ne1"/>
        <s v="kb2U"/>
        <s v="GP7s"/>
        <s v="6gn"/>
        <s v="DRI"/>
        <s v="WaZ"/>
        <s v="ToB"/>
        <s v="ToS"/>
        <s v="F6M"/>
        <s v="Rxo"/>
        <s v="BFC"/>
      </sharedItems>
    </cacheField>
    <cacheField name="Player" numFmtId="0">
      <sharedItems containsBlank="1"/>
    </cacheField>
    <cacheField name="Strength" numFmtId="0">
      <sharedItems containsString="0" containsBlank="1" containsNumber="1" containsInteger="1" minValue="160919105" maxValue="3524951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s v="7yq"/>
    <n v="26931004010"/>
  </r>
  <r>
    <x v="0"/>
    <s v="ZnR"/>
    <n v="23434895920"/>
  </r>
  <r>
    <x v="0"/>
    <s v="wDw"/>
    <n v="21925902365"/>
  </r>
  <r>
    <x v="0"/>
    <s v="xnt"/>
    <n v="18643902656"/>
  </r>
  <r>
    <x v="0"/>
    <s v="RbxD"/>
    <n v="17673058629"/>
  </r>
  <r>
    <x v="0"/>
    <s v="RAz"/>
    <n v="11285174330"/>
  </r>
  <r>
    <x v="0"/>
    <s v="nKl"/>
    <n v="10750491097"/>
  </r>
  <r>
    <x v="0"/>
    <s v="Ods"/>
    <n v="9572266855"/>
  </r>
  <r>
    <x v="0"/>
    <s v="ouk"/>
    <n v="9566586327"/>
  </r>
  <r>
    <x v="0"/>
    <s v="JcG"/>
    <n v="8475383702"/>
  </r>
  <r>
    <x v="1"/>
    <s v="SW3"/>
    <n v="26682678482"/>
  </r>
  <r>
    <x v="1"/>
    <s v="TUW"/>
    <n v="25724468027"/>
  </r>
  <r>
    <x v="1"/>
    <s v="A21"/>
    <n v="24624963809"/>
  </r>
  <r>
    <x v="1"/>
    <s v="daY"/>
    <n v="19791076551"/>
  </r>
  <r>
    <x v="1"/>
    <s v="TDOD"/>
    <n v="17581192517"/>
  </r>
  <r>
    <x v="1"/>
    <s v="FGX"/>
    <n v="16826733548"/>
  </r>
  <r>
    <x v="1"/>
    <s v="Vga"/>
    <n v="12274164776"/>
  </r>
  <r>
    <x v="1"/>
    <s v="FphX"/>
    <n v="5363579025"/>
  </r>
  <r>
    <x v="1"/>
    <s v="G1x"/>
    <n v="1982873971"/>
  </r>
  <r>
    <x v="1"/>
    <s v="9QR"/>
    <n v="1146507151"/>
  </r>
  <r>
    <x v="2"/>
    <s v="P2x"/>
    <n v="28806262128"/>
  </r>
  <r>
    <x v="2"/>
    <s v="noel"/>
    <n v="28368782635"/>
  </r>
  <r>
    <x v="2"/>
    <s v="XXX"/>
    <n v="23812138841"/>
  </r>
  <r>
    <x v="2"/>
    <s v="RvE"/>
    <n v="22122213555"/>
  </r>
  <r>
    <x v="2"/>
    <s v="WOFC"/>
    <n v="17556404050"/>
  </r>
  <r>
    <x v="2"/>
    <s v="MF1"/>
    <n v="9495713263"/>
  </r>
  <r>
    <x v="2"/>
    <s v="L6Q"/>
    <n v="8960457671"/>
  </r>
  <r>
    <x v="2"/>
    <s v="IRXN"/>
    <n v="7302411324"/>
  </r>
  <r>
    <x v="2"/>
    <s v="SMOL"/>
    <n v="2983493887"/>
  </r>
  <r>
    <x v="2"/>
    <s v="L8W"/>
    <n v="2566511980"/>
  </r>
  <r>
    <x v="3"/>
    <s v="lmo"/>
    <n v="22896977279"/>
  </r>
  <r>
    <x v="3"/>
    <s v="CLBs"/>
    <n v="21757327662"/>
  </r>
  <r>
    <x v="3"/>
    <s v="Neij"/>
    <n v="18610596955"/>
  </r>
  <r>
    <x v="3"/>
    <s v="TAOz"/>
    <n v="17050792285"/>
  </r>
  <r>
    <x v="3"/>
    <s v="Olb"/>
    <n v="14599003779"/>
  </r>
  <r>
    <x v="3"/>
    <s v="o41"/>
    <n v="12990534738"/>
  </r>
  <r>
    <x v="3"/>
    <s v="CGod"/>
    <n v="11311605174"/>
  </r>
  <r>
    <x v="3"/>
    <s v="LaPs"/>
    <n v="7901758950"/>
  </r>
  <r>
    <x v="3"/>
    <s v="ZOED"/>
    <n v="7138833884"/>
  </r>
  <r>
    <x v="3"/>
    <s v="CiEO"/>
    <n v="4548477645"/>
  </r>
  <r>
    <x v="4"/>
    <s v="VSC"/>
    <n v="20791424244"/>
  </r>
  <r>
    <x v="4"/>
    <s v="7NA"/>
    <n v="19898444846"/>
  </r>
  <r>
    <x v="4"/>
    <s v="dFa"/>
    <n v="18926448111"/>
  </r>
  <r>
    <x v="4"/>
    <s v="CNFX"/>
    <n v="15095612779"/>
  </r>
  <r>
    <x v="4"/>
    <s v="y6r"/>
    <n v="9052734041"/>
  </r>
  <r>
    <x v="4"/>
    <s v="kza"/>
    <n v="7437322352"/>
  </r>
  <r>
    <x v="4"/>
    <s v="RiiP"/>
    <n v="2752782962"/>
  </r>
  <r>
    <x v="4"/>
    <s v="r5t"/>
    <n v="2300140275"/>
  </r>
  <r>
    <x v="4"/>
    <s v="wf3"/>
    <n v="2157023733"/>
  </r>
  <r>
    <x v="4"/>
    <s v="MfH"/>
    <n v="1826269675"/>
  </r>
  <r>
    <x v="5"/>
    <s v="Hpn"/>
    <n v="27197708085"/>
  </r>
  <r>
    <x v="5"/>
    <s v="kb7"/>
    <n v="25822018861"/>
  </r>
  <r>
    <x v="5"/>
    <s v="enc"/>
    <n v="22988090179"/>
  </r>
  <r>
    <x v="5"/>
    <s v="Ne1"/>
    <n v="22877139845"/>
  </r>
  <r>
    <x v="5"/>
    <s v="GP7s"/>
    <n v="21068140573"/>
  </r>
  <r>
    <x v="5"/>
    <s v="kb2U"/>
    <n v="19871097475"/>
  </r>
  <r>
    <x v="5"/>
    <s v="UOP"/>
    <n v="17744830092"/>
  </r>
  <r>
    <x v="5"/>
    <s v="sru"/>
    <n v="16369178923"/>
  </r>
  <r>
    <x v="5"/>
    <s v="chup"/>
    <n v="14804428067"/>
  </r>
  <r>
    <x v="5"/>
    <s v="MGMS"/>
    <n v="14326413765"/>
  </r>
  <r>
    <x v="6"/>
    <s v="DRI"/>
    <n v="27157571053"/>
  </r>
  <r>
    <x v="6"/>
    <s v="WaZ"/>
    <n v="25233893811"/>
  </r>
  <r>
    <x v="6"/>
    <s v="ToB"/>
    <n v="23425054076"/>
  </r>
  <r>
    <x v="6"/>
    <s v="Het"/>
    <n v="20588422493"/>
  </r>
  <r>
    <x v="6"/>
    <s v="ToS"/>
    <n v="17693804095"/>
  </r>
  <r>
    <x v="6"/>
    <s v="SP4G"/>
    <n v="15432834960"/>
  </r>
  <r>
    <x v="6"/>
    <s v="HOKs"/>
    <n v="14165831205"/>
  </r>
  <r>
    <x v="6"/>
    <s v="aWa"/>
    <n v="11015746105"/>
  </r>
  <r>
    <x v="6"/>
    <s v="YMH"/>
    <n v="8103038005"/>
  </r>
  <r>
    <x v="6"/>
    <s v="VGL"/>
    <n v="2482555401"/>
  </r>
  <r>
    <x v="7"/>
    <s v="F6M"/>
    <n v="21370159902"/>
  </r>
  <r>
    <x v="7"/>
    <s v="BFC"/>
    <n v="16267129551"/>
  </r>
  <r>
    <x v="7"/>
    <s v="Rxo"/>
    <n v="12958775644"/>
  </r>
  <r>
    <x v="7"/>
    <s v="ksM"/>
    <n v="3232715542"/>
  </r>
  <r>
    <x v="7"/>
    <s v="P3V"/>
    <n v="1389053163"/>
  </r>
  <r>
    <x v="7"/>
    <s v="yeet"/>
    <n v="1104636213"/>
  </r>
  <r>
    <x v="7"/>
    <s v="THa "/>
    <n v="979462870"/>
  </r>
  <r>
    <x v="7"/>
    <s v="pm0"/>
    <n v="883014091"/>
  </r>
  <r>
    <x v="7"/>
    <s v="W3E"/>
    <n v="729552155"/>
  </r>
  <r>
    <x v="7"/>
    <n v="132"/>
    <n v="4835121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x v="0"/>
    <x v="0"/>
    <s v="Kevnin C"/>
    <n v="304126796"/>
  </r>
  <r>
    <x v="0"/>
    <x v="0"/>
    <s v="SHIN太郎"/>
    <n v="278412655"/>
  </r>
  <r>
    <x v="0"/>
    <x v="0"/>
    <s v="DylanLam"/>
    <n v="270144817"/>
  </r>
  <r>
    <x v="0"/>
    <x v="0"/>
    <s v="Justinko"/>
    <n v="268739106"/>
  </r>
  <r>
    <x v="0"/>
    <x v="0"/>
    <s v="抬萬郎"/>
    <n v="267564204"/>
  </r>
  <r>
    <x v="0"/>
    <x v="0"/>
    <s v="Ninoニノ"/>
    <n v="245431994"/>
  </r>
  <r>
    <x v="0"/>
    <x v="0"/>
    <s v="欧欧小公主"/>
    <n v="240023696"/>
  </r>
  <r>
    <x v="0"/>
    <x v="1"/>
    <s v="atsukichi"/>
    <n v="238570486"/>
  </r>
  <r>
    <x v="0"/>
    <x v="2"/>
    <s v="あんじまる Anji"/>
    <n v="237069945"/>
  </r>
  <r>
    <x v="0"/>
    <x v="0"/>
    <s v="リュうち"/>
    <n v="236896955"/>
  </r>
  <r>
    <x v="0"/>
    <x v="3"/>
    <s v="onigiriおにぎり"/>
    <n v="234363693"/>
  </r>
  <r>
    <x v="0"/>
    <x v="0"/>
    <s v="Nova祕影"/>
    <n v="225252882"/>
  </r>
  <r>
    <x v="0"/>
    <x v="4"/>
    <s v="GunShiriᶻⁿᴿ"/>
    <n v="222785743"/>
  </r>
  <r>
    <x v="0"/>
    <x v="4"/>
    <s v="深淵三代目"/>
    <n v="220579011"/>
  </r>
  <r>
    <x v="0"/>
    <x v="0"/>
    <s v="幸運MaiMai"/>
    <n v="220569021"/>
  </r>
  <r>
    <x v="0"/>
    <x v="5"/>
    <s v="そーたろー3歳"/>
    <n v="219226826"/>
  </r>
  <r>
    <x v="0"/>
    <x v="0"/>
    <s v="kilaU"/>
    <n v="218115038"/>
  </r>
  <r>
    <x v="0"/>
    <x v="0"/>
    <s v="Jfang"/>
    <n v="217790244"/>
  </r>
  <r>
    <x v="0"/>
    <x v="0"/>
    <s v="Pickles A"/>
    <n v="216674508"/>
  </r>
  <r>
    <x v="0"/>
    <x v="4"/>
    <s v="ひろすすず"/>
    <n v="215244753"/>
  </r>
  <r>
    <x v="1"/>
    <x v="6"/>
    <s v="Nassai75"/>
    <n v="263304436"/>
  </r>
  <r>
    <x v="1"/>
    <x v="6"/>
    <s v="AMEER1991"/>
    <n v="255664276"/>
  </r>
  <r>
    <x v="1"/>
    <x v="7"/>
    <s v="D乇ΛʟƬ卄ˢʷᶾ"/>
    <n v="244273528"/>
  </r>
  <r>
    <x v="1"/>
    <x v="8"/>
    <s v="Schorschi81"/>
    <n v="231473575"/>
  </r>
  <r>
    <x v="1"/>
    <x v="7"/>
    <s v="Rundstr3ck"/>
    <n v="230718126"/>
  </r>
  <r>
    <x v="1"/>
    <x v="7"/>
    <s v="schnoge ˢʷᶾ"/>
    <n v="223962505"/>
  </r>
  <r>
    <x v="1"/>
    <x v="8"/>
    <s v="matte82"/>
    <n v="219781029"/>
  </r>
  <r>
    <x v="1"/>
    <x v="6"/>
    <s v="ÂRCH"/>
    <n v="217642219"/>
  </r>
  <r>
    <x v="1"/>
    <x v="8"/>
    <s v="ᰔ Rose Kitty ᰔ"/>
    <n v="213616178"/>
  </r>
  <r>
    <x v="1"/>
    <x v="7"/>
    <s v="The Treee"/>
    <n v="212834965"/>
  </r>
  <r>
    <x v="1"/>
    <x v="6"/>
    <s v="BuQht"/>
    <n v="208851424"/>
  </r>
  <r>
    <x v="1"/>
    <x v="8"/>
    <s v="D3cember"/>
    <n v="207130848"/>
  </r>
  <r>
    <x v="1"/>
    <x v="9"/>
    <s v="Fiftyfiff"/>
    <n v="205819991"/>
  </r>
  <r>
    <x v="1"/>
    <x v="7"/>
    <s v="ATILLA79"/>
    <n v="202665574"/>
  </r>
  <r>
    <x v="1"/>
    <x v="7"/>
    <s v="SNΛKE ˢʷᶾ"/>
    <n v="202087856"/>
  </r>
  <r>
    <x v="1"/>
    <x v="7"/>
    <s v="ÄÄÄRRICH ˢʷᶾ"/>
    <n v="200426212"/>
  </r>
  <r>
    <x v="1"/>
    <x v="7"/>
    <s v="MrFlupp"/>
    <n v="200342020"/>
  </r>
  <r>
    <x v="1"/>
    <x v="8"/>
    <s v="Pozza77 IBM 4ever"/>
    <n v="198995855"/>
  </r>
  <r>
    <x v="1"/>
    <x v="7"/>
    <s v="Marius ˢʷᶾ Bear"/>
    <n v="196427860"/>
  </r>
  <r>
    <x v="1"/>
    <x v="7"/>
    <s v="Pavloˢʷᶾ"/>
    <n v="196115742"/>
  </r>
  <r>
    <x v="2"/>
    <x v="10"/>
    <s v="PBC10"/>
    <n v="336203880"/>
  </r>
  <r>
    <x v="2"/>
    <x v="11"/>
    <s v="Andy22yes"/>
    <n v="318781968"/>
  </r>
  <r>
    <x v="2"/>
    <x v="12"/>
    <s v="KaiserDB 카이저"/>
    <n v="309567986"/>
  </r>
  <r>
    <x v="2"/>
    <x v="11"/>
    <s v="Syän"/>
    <n v="303709015"/>
  </r>
  <r>
    <x v="2"/>
    <x v="11"/>
    <s v="Làla"/>
    <n v="296533922"/>
  </r>
  <r>
    <x v="2"/>
    <x v="11"/>
    <s v="JC24VBlackwings"/>
    <n v="288241028"/>
  </r>
  <r>
    <x v="2"/>
    <x v="12"/>
    <s v="HellCatMT"/>
    <n v="284630529"/>
  </r>
  <r>
    <x v="2"/>
    <x v="12"/>
    <s v="Førge"/>
    <n v="248107896"/>
  </r>
  <r>
    <x v="2"/>
    <x v="12"/>
    <s v="Lana 바나나"/>
    <n v="246419127"/>
  </r>
  <r>
    <x v="2"/>
    <x v="11"/>
    <s v="Grimmsho"/>
    <n v="245918432"/>
  </r>
  <r>
    <x v="2"/>
    <x v="12"/>
    <s v="Yelloworange 옐로"/>
    <n v="244031928"/>
  </r>
  <r>
    <x v="2"/>
    <x v="12"/>
    <s v="매트 Mᴀᴛᴛ"/>
    <n v="239714476"/>
  </r>
  <r>
    <x v="2"/>
    <x v="11"/>
    <s v="TDeBank"/>
    <n v="236231186"/>
  </r>
  <r>
    <x v="2"/>
    <x v="11"/>
    <s v="Multiply"/>
    <n v="235252096"/>
  </r>
  <r>
    <x v="2"/>
    <x v="11"/>
    <s v="Enigma Incarnate"/>
    <n v="232859288"/>
  </r>
  <r>
    <x v="2"/>
    <x v="11"/>
    <s v="Cilad 다뿌셔"/>
    <n v="228319937"/>
  </r>
  <r>
    <x v="2"/>
    <x v="12"/>
    <s v="Choppa noona"/>
    <n v="228314129"/>
  </r>
  <r>
    <x v="2"/>
    <x v="12"/>
    <s v="MinGod"/>
    <n v="226339994"/>
  </r>
  <r>
    <x v="2"/>
    <x v="12"/>
    <s v="papajon1000"/>
    <n v="225642564"/>
  </r>
  <r>
    <x v="2"/>
    <x v="12"/>
    <s v="이  방  원WON"/>
    <n v="221365149"/>
  </r>
  <r>
    <x v="3"/>
    <x v="13"/>
    <s v="Jun3 3333"/>
    <n v="291453020"/>
  </r>
  <r>
    <x v="3"/>
    <x v="14"/>
    <s v="ぴきぴきん"/>
    <n v="267899402"/>
  </r>
  <r>
    <x v="3"/>
    <x v="15"/>
    <s v="ぽるーらporura7o"/>
    <n v="252261885"/>
  </r>
  <r>
    <x v="3"/>
    <x v="14"/>
    <s v="ヴァンギ"/>
    <n v="236510648"/>
  </r>
  <r>
    <x v="3"/>
    <x v="14"/>
    <s v="ふりーまん123"/>
    <n v="235375194"/>
  </r>
  <r>
    <x v="3"/>
    <x v="14"/>
    <s v="6Vぺらっぷ"/>
    <n v="234235422"/>
  </r>
  <r>
    <x v="3"/>
    <x v="16"/>
    <s v="chirochiro"/>
    <n v="226525138"/>
  </r>
  <r>
    <x v="3"/>
    <x v="15"/>
    <s v="けんズKenzu"/>
    <n v="221839385"/>
  </r>
  <r>
    <x v="3"/>
    <x v="14"/>
    <s v="トラっぴぃ"/>
    <n v="221091136"/>
  </r>
  <r>
    <x v="3"/>
    <x v="14"/>
    <s v="club 4ce"/>
    <n v="219630862"/>
  </r>
  <r>
    <x v="3"/>
    <x v="15"/>
    <s v="Justice0921"/>
    <n v="212670633"/>
  </r>
  <r>
    <x v="3"/>
    <x v="17"/>
    <s v="ちゃんくぅ"/>
    <n v="212197150"/>
  </r>
  <r>
    <x v="3"/>
    <x v="17"/>
    <s v="はやぽす"/>
    <n v="210519748"/>
  </r>
  <r>
    <x v="3"/>
    <x v="15"/>
    <s v="ふなっしー君"/>
    <n v="209018680"/>
  </r>
  <r>
    <x v="3"/>
    <x v="14"/>
    <s v="Shu-papa"/>
    <n v="205420489"/>
  </r>
  <r>
    <x v="3"/>
    <x v="14"/>
    <s v="かき揚げ餅"/>
    <n v="202145103"/>
  </r>
  <r>
    <x v="3"/>
    <x v="14"/>
    <s v="マ ッ キー"/>
    <n v="199317140"/>
  </r>
  <r>
    <x v="3"/>
    <x v="16"/>
    <s v="Kino P"/>
    <n v="198736707"/>
  </r>
  <r>
    <x v="3"/>
    <x v="16"/>
    <s v="ヒナ吉"/>
    <n v="197319714"/>
  </r>
  <r>
    <x v="3"/>
    <x v="16"/>
    <s v="Masaちゃん"/>
    <n v="197280827"/>
  </r>
  <r>
    <x v="4"/>
    <x v="18"/>
    <s v="AE 21"/>
    <n v="211945364"/>
  </r>
  <r>
    <x v="4"/>
    <x v="13"/>
    <s v="EskiKafa"/>
    <n v="194692634"/>
  </r>
  <r>
    <x v="4"/>
    <x v="18"/>
    <s v="Noxierᵛˢᶜ"/>
    <n v="179620452"/>
  </r>
  <r>
    <x v="4"/>
    <x v="18"/>
    <s v="For sale van"/>
    <n v="177137057"/>
  </r>
  <r>
    <x v="4"/>
    <x v="19"/>
    <s v="MooseKing"/>
    <n v="176906796"/>
  </r>
  <r>
    <x v="4"/>
    <x v="18"/>
    <s v="DizzyyySama"/>
    <n v="174256146"/>
  </r>
  <r>
    <x v="4"/>
    <x v="18"/>
    <s v="Kalitix 61"/>
    <n v="173901786"/>
  </r>
  <r>
    <x v="4"/>
    <x v="20"/>
    <s v="mmlookh77"/>
    <n v="172435934"/>
  </r>
  <r>
    <x v="4"/>
    <x v="18"/>
    <s v="Jaguar151ᵛˢᶜ"/>
    <n v="170421976"/>
  </r>
  <r>
    <x v="4"/>
    <x v="21"/>
    <s v="MΛSTΞR24"/>
    <n v="169545596"/>
  </r>
  <r>
    <x v="4"/>
    <x v="22"/>
    <s v="ALEX DP"/>
    <n v="168265433"/>
  </r>
  <r>
    <x v="4"/>
    <x v="21"/>
    <s v="C i s c o"/>
    <n v="167027144"/>
  </r>
  <r>
    <x v="4"/>
    <x v="18"/>
    <s v="RS 5"/>
    <n v="166774647"/>
  </r>
  <r>
    <x v="4"/>
    <x v="18"/>
    <s v="亗 DAYI 44 亗"/>
    <n v="166650171"/>
  </r>
  <r>
    <x v="4"/>
    <x v="20"/>
    <s v="FapMaster"/>
    <n v="166319418"/>
  </r>
  <r>
    <x v="4"/>
    <x v="18"/>
    <s v="YAVUZ435"/>
    <n v="166170515"/>
  </r>
  <r>
    <x v="4"/>
    <x v="18"/>
    <s v="Acar06"/>
    <n v="164384699"/>
  </r>
  <r>
    <x v="4"/>
    <x v="22"/>
    <s v="Black Scorpio21"/>
    <n v="162934507"/>
  </r>
  <r>
    <x v="4"/>
    <x v="18"/>
    <s v="AliKocᵛˢᶜ"/>
    <n v="161539132"/>
  </r>
  <r>
    <x v="4"/>
    <x v="18"/>
    <s v="声 SeS 声"/>
    <n v="160919105"/>
  </r>
  <r>
    <x v="5"/>
    <x v="23"/>
    <s v="ケンタロ軍曹"/>
    <n v="352495102"/>
  </r>
  <r>
    <x v="5"/>
    <x v="24"/>
    <s v="Chil KOMA"/>
    <n v="339641617"/>
  </r>
  <r>
    <x v="5"/>
    <x v="24"/>
    <s v="真白かぐや"/>
    <n v="318242715"/>
  </r>
  <r>
    <x v="5"/>
    <x v="23"/>
    <s v="偽りNeo7d Max"/>
    <n v="288911318"/>
  </r>
  <r>
    <x v="5"/>
    <x v="23"/>
    <s v="Bi-7k Max"/>
    <n v="283389208"/>
  </r>
  <r>
    <x v="5"/>
    <x v="24"/>
    <s v="AM11時"/>
    <n v="276377526"/>
  </r>
  <r>
    <x v="5"/>
    <x v="24"/>
    <s v="Hysteric Taa"/>
    <n v="269096936"/>
  </r>
  <r>
    <x v="5"/>
    <x v="25"/>
    <s v="ドランプ"/>
    <n v="268404160"/>
  </r>
  <r>
    <x v="5"/>
    <x v="26"/>
    <s v="ᴺᵉˡバケパ"/>
    <n v="267621998"/>
  </r>
  <r>
    <x v="5"/>
    <x v="23"/>
    <s v="K A O L"/>
    <n v="267428355"/>
  </r>
  <r>
    <x v="5"/>
    <x v="27"/>
    <s v="変態軍曹Max"/>
    <n v="264415232"/>
  </r>
  <r>
    <x v="5"/>
    <x v="28"/>
    <s v="ナナハチ2"/>
    <n v="260283254"/>
  </r>
  <r>
    <x v="5"/>
    <x v="23"/>
    <s v="YummyLucente"/>
    <n v="252811062"/>
  </r>
  <r>
    <x v="5"/>
    <x v="26"/>
    <s v="スンチャパ"/>
    <n v="251390355"/>
  </r>
  <r>
    <x v="5"/>
    <x v="29"/>
    <s v="MaG MottaN"/>
    <n v="245945122"/>
  </r>
  <r>
    <x v="5"/>
    <x v="27"/>
    <s v="真白のさぶ茶"/>
    <n v="238573470"/>
  </r>
  <r>
    <x v="5"/>
    <x v="24"/>
    <s v="ArthurGoPur"/>
    <n v="237953253"/>
  </r>
  <r>
    <x v="5"/>
    <x v="27"/>
    <s v="tomoshige"/>
    <n v="235158674"/>
  </r>
  <r>
    <x v="5"/>
    <x v="23"/>
    <s v="すべらないLAL"/>
    <n v="234502275"/>
  </r>
  <r>
    <x v="5"/>
    <x v="24"/>
    <s v="荒巻イカ"/>
    <n v="233385927"/>
  </r>
  <r>
    <x v="6"/>
    <x v="30"/>
    <s v="Chicko Raptor"/>
    <n v="340759270"/>
  </r>
  <r>
    <x v="6"/>
    <x v="30"/>
    <s v="NO MERCY"/>
    <n v="295531756"/>
  </r>
  <r>
    <x v="6"/>
    <x v="30"/>
    <s v="Cpt Jos Sparrow MD"/>
    <n v="277433828"/>
  </r>
  <r>
    <x v="6"/>
    <x v="30"/>
    <s v="Arash1810"/>
    <n v="259121312"/>
  </r>
  <r>
    <x v="6"/>
    <x v="30"/>
    <s v="JAY DOG PURGE RAPTOR"/>
    <n v="242408105"/>
  </r>
  <r>
    <x v="6"/>
    <x v="31"/>
    <s v="Byrclat"/>
    <n v="235575978"/>
  </r>
  <r>
    <x v="6"/>
    <x v="30"/>
    <s v="Da De"/>
    <n v="234751099"/>
  </r>
  <r>
    <x v="6"/>
    <x v="30"/>
    <s v="silendan"/>
    <n v="234322913"/>
  </r>
  <r>
    <x v="6"/>
    <x v="30"/>
    <s v="sςɑʀƒɑςє"/>
    <n v="229575375"/>
  </r>
  <r>
    <x v="6"/>
    <x v="32"/>
    <s v="Rimvis 4 S4l3"/>
    <n v="228119310"/>
  </r>
  <r>
    <x v="6"/>
    <x v="31"/>
    <s v="LIST"/>
    <n v="227462468"/>
  </r>
  <r>
    <x v="6"/>
    <x v="30"/>
    <s v="KDL1973"/>
    <n v="227072291"/>
  </r>
  <r>
    <x v="6"/>
    <x v="30"/>
    <s v="Sugar 水"/>
    <n v="217636116"/>
  </r>
  <r>
    <x v="6"/>
    <x v="30"/>
    <s v="Huazzy"/>
    <n v="216604177"/>
  </r>
  <r>
    <x v="6"/>
    <x v="33"/>
    <s v="LC SMITH"/>
    <n v="215654050"/>
  </r>
  <r>
    <x v="6"/>
    <x v="30"/>
    <s v="Queen Rea"/>
    <n v="215171059"/>
  </r>
  <r>
    <x v="6"/>
    <x v="30"/>
    <s v="SINA"/>
    <n v="214026458"/>
  </r>
  <r>
    <x v="6"/>
    <x v="30"/>
    <s v="AlNuhayyan"/>
    <n v="213803186"/>
  </r>
  <r>
    <x v="6"/>
    <x v="31"/>
    <s v="jesus66"/>
    <n v="212668250"/>
  </r>
  <r>
    <x v="6"/>
    <x v="30"/>
    <s v="ZeusByk"/>
    <n v="212120906"/>
  </r>
  <r>
    <x v="7"/>
    <x v="34"/>
    <s v="康康不康康"/>
    <n v="207268769"/>
  </r>
  <r>
    <x v="7"/>
    <x v="34"/>
    <s v="冰封之魂Ed"/>
    <n v="190104782"/>
  </r>
  <r>
    <x v="7"/>
    <x v="34"/>
    <s v="伍佰不伍佰"/>
    <n v="187929964"/>
  </r>
  <r>
    <x v="7"/>
    <x v="34"/>
    <s v="Donald羊羊"/>
    <n v="187362826"/>
  </r>
  <r>
    <x v="7"/>
    <x v="34"/>
    <s v="დcelicaფ"/>
    <n v="181376848"/>
  </r>
  <r>
    <x v="7"/>
    <x v="34"/>
    <s v="aaaaaahhhh"/>
    <n v="176816773"/>
  </r>
  <r>
    <x v="7"/>
    <x v="34"/>
    <s v="亨亨汪汪"/>
    <n v="175188387"/>
  </r>
  <r>
    <x v="7"/>
    <x v="34"/>
    <s v="特兰克斯C"/>
    <n v="174652476"/>
  </r>
  <r>
    <x v="7"/>
    <x v="34"/>
    <s v="剛猛鎖很大"/>
    <n v="174338569"/>
  </r>
  <r>
    <x v="7"/>
    <x v="34"/>
    <s v="星羊羊"/>
    <n v="173657902"/>
  </r>
  <r>
    <x v="7"/>
    <x v="34"/>
    <s v="sss21"/>
    <n v="171663149"/>
  </r>
  <r>
    <x v="7"/>
    <x v="34"/>
    <s v="寶妹色羊羊"/>
    <n v="169262202"/>
  </r>
  <r>
    <x v="7"/>
    <x v="34"/>
    <s v="G C"/>
    <n v="165458912"/>
  </r>
  <r>
    <x v="7"/>
    <x v="34"/>
    <s v="Quattro大尉"/>
    <n v="165347053"/>
  </r>
  <r>
    <x v="7"/>
    <x v="34"/>
    <s v="殺殺懶羊羊"/>
    <n v="164867696"/>
  </r>
  <r>
    <x v="7"/>
    <x v="34"/>
    <s v="想要釣大魚"/>
    <n v="162914811"/>
  </r>
  <r>
    <x v="7"/>
    <x v="35"/>
    <s v="KakachiBoy"/>
    <n v="162780902"/>
  </r>
  <r>
    <x v="7"/>
    <x v="34"/>
    <s v="Sanro D"/>
    <n v="162397595"/>
  </r>
  <r>
    <x v="7"/>
    <x v="34"/>
    <s v="KOZAK 1"/>
    <n v="162364687"/>
  </r>
  <r>
    <x v="7"/>
    <x v="36"/>
    <s v="SoulYogy"/>
    <n v="161964392"/>
  </r>
  <r>
    <x v="8"/>
    <x v="1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40AE8-6DE7-40EB-A4C6-182395C63216}" name="PivotTable3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6:D74" firstHeaderRow="0" firstDataRow="1" firstDataCol="1"/>
  <pivotFields count="4"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38">
        <item x="1"/>
        <item x="29"/>
        <item x="19"/>
        <item x="0"/>
        <item x="6"/>
        <item x="36"/>
        <item x="15"/>
        <item x="21"/>
        <item x="30"/>
        <item x="25"/>
        <item x="34"/>
        <item x="9"/>
        <item x="28"/>
        <item x="24"/>
        <item x="27"/>
        <item x="23"/>
        <item x="20"/>
        <item x="14"/>
        <item x="26"/>
        <item x="16"/>
        <item x="3"/>
        <item x="12"/>
        <item x="17"/>
        <item x="11"/>
        <item x="35"/>
        <item x="7"/>
        <item x="32"/>
        <item x="33"/>
        <item x="8"/>
        <item x="18"/>
        <item x="31"/>
        <item x="2"/>
        <item x="5"/>
        <item x="10"/>
        <item x="22"/>
        <item x="4"/>
        <item x="13"/>
        <item t="default"/>
      </items>
    </pivotField>
    <pivotField dataField="1" showAll="0"/>
    <pivotField dataField="1" showAll="0"/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me von Strength" fld="3" baseField="0" baseItem="0"/>
    <dataField name="Max. von Server" fld="0" subtotal="max" baseField="1" baseItem="0"/>
    <dataField name="Anzahl von Play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B7B33-D594-4067-8A46-581571C5375A}" name="PivotTable2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17:B27" firstHeaderRow="1" firstDataRow="1" firstDataCol="1"/>
  <pivotFields count="4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numFmtId="3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me von Strength" fld="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7641F-764D-4CB6-818C-67B41E5CB9F4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12" firstHeaderRow="1" firstDataRow="1" firstDataCol="1"/>
  <pivotFields count="3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3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me von Strength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FD0A51-71F1-4991-97D8-2382DC71A1F8}" name="Tabelle1" displayName="Tabelle1" ref="A3:E24" totalsRowShown="0" headerRowDxfId="9" dataDxfId="7" headerRowBorderDxfId="8" tableBorderDxfId="6" totalsRowBorderDxfId="5">
  <autoFilter ref="A3:E24" xr:uid="{A2FD0A51-71F1-4991-97D8-2382DC71A1F8}"/>
  <tableColumns count="5">
    <tableColumn id="1" xr3:uid="{017CD517-29DC-4B94-84C0-E581DD47DE0E}" name="Alliance" dataDxfId="4"/>
    <tableColumn id="2" xr3:uid="{7F9AF007-C737-44DA-9C09-77BCDCA241E0}" name="City Level 1" dataDxfId="3"/>
    <tableColumn id="3" xr3:uid="{DD824FCC-9714-4112-A546-EA57A6C9E47D}" name="City Level 2" dataDxfId="2"/>
    <tableColumn id="4" xr3:uid="{98C9A296-C656-4C76-AD48-A7AD01CEE510}" name="City Level 3" dataDxfId="1"/>
    <tableColumn id="5" xr3:uid="{561F3B6F-4E9E-4DFD-B047-43DCC1F88639}" name="Influence Points" dataDxfId="0">
      <calculatedColumnFormula>B4*100000+C4*300000+D4*600000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DC0B-FD02-4D05-8DEE-79E3EB95302C}">
  <dimension ref="A3:U163"/>
  <sheetViews>
    <sheetView workbookViewId="0">
      <selection activeCell="J8" sqref="J8"/>
    </sheetView>
  </sheetViews>
  <sheetFormatPr baseColWidth="10" defaultRowHeight="15" x14ac:dyDescent="0.25"/>
  <cols>
    <col min="1" max="1" width="22.7109375" bestFit="1" customWidth="1"/>
    <col min="2" max="2" width="19.85546875" bestFit="1" customWidth="1"/>
    <col min="3" max="3" width="15.140625" bestFit="1" customWidth="1"/>
    <col min="4" max="4" width="16.7109375" bestFit="1" customWidth="1"/>
    <col min="7" max="7" width="27.85546875" customWidth="1"/>
    <col min="8" max="8" width="12.7109375" bestFit="1" customWidth="1"/>
    <col min="9" max="9" width="19.42578125" bestFit="1" customWidth="1"/>
    <col min="10" max="10" width="19.42578125" customWidth="1"/>
    <col min="15" max="15" width="13.7109375" bestFit="1" customWidth="1"/>
  </cols>
  <sheetData>
    <row r="3" spans="1:21" x14ac:dyDescent="0.25">
      <c r="A3" s="3" t="s">
        <v>164</v>
      </c>
      <c r="B3" t="s">
        <v>166</v>
      </c>
      <c r="F3" t="s">
        <v>0</v>
      </c>
      <c r="G3" s="4" t="s">
        <v>256</v>
      </c>
      <c r="L3" s="8" t="s">
        <v>167</v>
      </c>
      <c r="M3" s="4" t="s">
        <v>0</v>
      </c>
      <c r="N3" s="4" t="s">
        <v>1</v>
      </c>
      <c r="O3" s="4" t="s">
        <v>2</v>
      </c>
      <c r="Q3" s="8" t="s">
        <v>167</v>
      </c>
      <c r="R3" t="s">
        <v>0</v>
      </c>
      <c r="S3" t="s">
        <v>1</v>
      </c>
      <c r="T3" t="s">
        <v>13</v>
      </c>
      <c r="U3" t="s">
        <v>2</v>
      </c>
    </row>
    <row r="4" spans="1:21" x14ac:dyDescent="0.25">
      <c r="A4" s="2">
        <v>556</v>
      </c>
      <c r="B4" s="1">
        <v>158258665891</v>
      </c>
      <c r="F4" s="11">
        <v>638</v>
      </c>
      <c r="G4" s="12">
        <v>203069045865</v>
      </c>
      <c r="L4">
        <v>1</v>
      </c>
      <c r="M4" s="17">
        <v>598</v>
      </c>
      <c r="N4" s="17" t="s">
        <v>44</v>
      </c>
      <c r="O4" s="14">
        <v>28806262128</v>
      </c>
      <c r="Q4">
        <v>1</v>
      </c>
      <c r="R4" s="15">
        <v>638</v>
      </c>
      <c r="S4" s="15" t="s">
        <v>106</v>
      </c>
      <c r="T4" s="15" t="s">
        <v>115</v>
      </c>
      <c r="U4" s="12">
        <v>352495102</v>
      </c>
    </row>
    <row r="5" spans="1:21" x14ac:dyDescent="0.25">
      <c r="A5" s="2">
        <v>573</v>
      </c>
      <c r="B5" s="1">
        <v>151998237857</v>
      </c>
      <c r="F5" s="11">
        <v>662</v>
      </c>
      <c r="G5" s="12">
        <v>165298751204</v>
      </c>
      <c r="L5">
        <v>2</v>
      </c>
      <c r="M5" s="17">
        <v>598</v>
      </c>
      <c r="N5" s="17" t="s">
        <v>45</v>
      </c>
      <c r="O5" s="14">
        <v>28368782635</v>
      </c>
      <c r="Q5">
        <v>2</v>
      </c>
      <c r="R5" s="15">
        <v>662</v>
      </c>
      <c r="S5" s="15" t="s">
        <v>125</v>
      </c>
      <c r="T5" s="15" t="s">
        <v>135</v>
      </c>
      <c r="U5" s="12">
        <v>340759270</v>
      </c>
    </row>
    <row r="6" spans="1:21" x14ac:dyDescent="0.25">
      <c r="A6" s="2">
        <v>598</v>
      </c>
      <c r="B6" s="1">
        <v>151974389334</v>
      </c>
      <c r="F6" s="13">
        <v>556</v>
      </c>
      <c r="G6" s="14">
        <v>158258665891</v>
      </c>
      <c r="L6">
        <v>3</v>
      </c>
      <c r="M6" s="15">
        <v>638</v>
      </c>
      <c r="N6" s="15" t="s">
        <v>105</v>
      </c>
      <c r="O6" s="12">
        <v>27197708085</v>
      </c>
      <c r="Q6">
        <v>3</v>
      </c>
      <c r="R6" s="15">
        <v>638</v>
      </c>
      <c r="S6" s="15" t="s">
        <v>105</v>
      </c>
      <c r="T6" s="15" t="s">
        <v>116</v>
      </c>
      <c r="U6" s="12">
        <v>339641617</v>
      </c>
    </row>
    <row r="7" spans="1:21" x14ac:dyDescent="0.25">
      <c r="A7" s="2">
        <v>603</v>
      </c>
      <c r="B7" s="1">
        <v>138805908351</v>
      </c>
      <c r="F7" s="5">
        <v>573</v>
      </c>
      <c r="G7" s="6">
        <v>151998237857</v>
      </c>
      <c r="L7">
        <v>4</v>
      </c>
      <c r="M7" s="15">
        <v>662</v>
      </c>
      <c r="N7" s="15" t="s">
        <v>125</v>
      </c>
      <c r="O7" s="12">
        <v>27157571053</v>
      </c>
      <c r="Q7">
        <v>4</v>
      </c>
      <c r="R7" s="17">
        <v>598</v>
      </c>
      <c r="S7" s="17" t="s">
        <v>46</v>
      </c>
      <c r="T7" s="17" t="s">
        <v>54</v>
      </c>
      <c r="U7" s="14">
        <v>336203880</v>
      </c>
    </row>
    <row r="8" spans="1:21" x14ac:dyDescent="0.25">
      <c r="A8" s="2">
        <v>626</v>
      </c>
      <c r="B8" s="1">
        <v>100238203018</v>
      </c>
      <c r="F8" s="13">
        <v>598</v>
      </c>
      <c r="G8" s="14">
        <v>151974389334</v>
      </c>
      <c r="L8">
        <v>5</v>
      </c>
      <c r="M8" s="17">
        <v>556</v>
      </c>
      <c r="N8" s="17" t="s">
        <v>3</v>
      </c>
      <c r="O8" s="14">
        <v>26931004010</v>
      </c>
      <c r="Q8">
        <v>5</v>
      </c>
      <c r="R8" s="17">
        <v>598</v>
      </c>
      <c r="S8" s="17" t="s">
        <v>44</v>
      </c>
      <c r="T8" s="17" t="s">
        <v>55</v>
      </c>
      <c r="U8" s="14">
        <v>318781968</v>
      </c>
    </row>
    <row r="9" spans="1:21" x14ac:dyDescent="0.25">
      <c r="A9" s="2">
        <v>638</v>
      </c>
      <c r="B9" s="1">
        <v>203069045865</v>
      </c>
      <c r="F9" s="11">
        <v>603</v>
      </c>
      <c r="G9" s="12">
        <v>138805908351</v>
      </c>
      <c r="L9">
        <v>6</v>
      </c>
      <c r="M9" s="7">
        <v>573</v>
      </c>
      <c r="N9" s="7" t="s">
        <v>24</v>
      </c>
      <c r="O9" s="6">
        <v>26682678482</v>
      </c>
      <c r="Q9">
        <v>6</v>
      </c>
      <c r="R9" s="15">
        <v>638</v>
      </c>
      <c r="S9" s="15" t="s">
        <v>105</v>
      </c>
      <c r="T9" s="15" t="s">
        <v>117</v>
      </c>
      <c r="U9" s="12">
        <v>318242715</v>
      </c>
    </row>
    <row r="10" spans="1:21" x14ac:dyDescent="0.25">
      <c r="A10" s="2">
        <v>662</v>
      </c>
      <c r="B10" s="1">
        <v>165298751204</v>
      </c>
      <c r="F10" s="11">
        <v>626</v>
      </c>
      <c r="G10" s="12">
        <v>100238203018</v>
      </c>
      <c r="L10">
        <v>7</v>
      </c>
      <c r="M10" s="15">
        <v>638</v>
      </c>
      <c r="N10" s="15" t="s">
        <v>106</v>
      </c>
      <c r="O10" s="12">
        <v>25822018861</v>
      </c>
      <c r="Q10">
        <v>7</v>
      </c>
      <c r="R10" s="17">
        <v>598</v>
      </c>
      <c r="S10" s="17" t="s">
        <v>45</v>
      </c>
      <c r="T10" s="17" t="s">
        <v>56</v>
      </c>
      <c r="U10" s="14">
        <v>309567986</v>
      </c>
    </row>
    <row r="11" spans="1:21" x14ac:dyDescent="0.25">
      <c r="A11" s="2">
        <v>667</v>
      </c>
      <c r="B11" s="1">
        <v>59398011293</v>
      </c>
      <c r="F11" s="13">
        <v>667</v>
      </c>
      <c r="G11" s="14">
        <v>59398011293</v>
      </c>
      <c r="L11">
        <v>8</v>
      </c>
      <c r="M11" s="7">
        <v>573</v>
      </c>
      <c r="N11" s="7" t="s">
        <v>25</v>
      </c>
      <c r="O11" s="6">
        <v>25724468027</v>
      </c>
      <c r="Q11">
        <v>8</v>
      </c>
      <c r="R11" s="17">
        <v>556</v>
      </c>
      <c r="S11" s="17" t="s">
        <v>3</v>
      </c>
      <c r="T11" s="17" t="s">
        <v>14</v>
      </c>
      <c r="U11" s="14">
        <v>304126796</v>
      </c>
    </row>
    <row r="12" spans="1:21" x14ac:dyDescent="0.25">
      <c r="A12" s="2" t="s">
        <v>165</v>
      </c>
      <c r="B12" s="1">
        <v>1129041212813</v>
      </c>
      <c r="L12">
        <v>9</v>
      </c>
      <c r="M12" s="15">
        <v>662</v>
      </c>
      <c r="N12" s="15" t="s">
        <v>126</v>
      </c>
      <c r="O12" s="12">
        <v>25233893811</v>
      </c>
      <c r="Q12">
        <v>9</v>
      </c>
      <c r="R12" s="17">
        <v>598</v>
      </c>
      <c r="S12" s="17" t="s">
        <v>44</v>
      </c>
      <c r="T12" s="17" t="s">
        <v>57</v>
      </c>
      <c r="U12" s="14">
        <v>303709015</v>
      </c>
    </row>
    <row r="13" spans="1:21" x14ac:dyDescent="0.25">
      <c r="L13">
        <v>10</v>
      </c>
      <c r="M13" s="7">
        <v>573</v>
      </c>
      <c r="N13" s="7" t="s">
        <v>26</v>
      </c>
      <c r="O13" s="6">
        <v>24624963809</v>
      </c>
      <c r="Q13">
        <v>10</v>
      </c>
      <c r="R13" s="17">
        <v>598</v>
      </c>
      <c r="S13" s="17" t="s">
        <v>44</v>
      </c>
      <c r="T13" s="17" t="s">
        <v>58</v>
      </c>
      <c r="U13" s="14">
        <v>296533922</v>
      </c>
    </row>
    <row r="14" spans="1:21" x14ac:dyDescent="0.25">
      <c r="F14" t="s">
        <v>0</v>
      </c>
      <c r="G14" s="4" t="s">
        <v>252</v>
      </c>
      <c r="L14">
        <v>11</v>
      </c>
      <c r="M14" s="17">
        <v>598</v>
      </c>
      <c r="N14" s="17" t="s">
        <v>46</v>
      </c>
      <c r="O14" s="14">
        <v>23812138841</v>
      </c>
      <c r="Q14">
        <v>11</v>
      </c>
      <c r="R14" s="15">
        <v>662</v>
      </c>
      <c r="S14" s="15" t="s">
        <v>125</v>
      </c>
      <c r="T14" s="15" t="s">
        <v>136</v>
      </c>
      <c r="U14" s="12">
        <v>295531756</v>
      </c>
    </row>
    <row r="15" spans="1:21" x14ac:dyDescent="0.25">
      <c r="F15" s="11">
        <v>638</v>
      </c>
      <c r="G15" s="12">
        <v>2931608935</v>
      </c>
      <c r="L15">
        <v>12</v>
      </c>
      <c r="M15" s="17">
        <v>556</v>
      </c>
      <c r="N15" s="17" t="s">
        <v>4</v>
      </c>
      <c r="O15" s="14">
        <v>23434895920</v>
      </c>
      <c r="Q15">
        <v>12</v>
      </c>
      <c r="R15" s="15">
        <v>603</v>
      </c>
      <c r="S15" s="15"/>
      <c r="T15" s="15" t="s">
        <v>74</v>
      </c>
      <c r="U15" s="12">
        <v>291453020</v>
      </c>
    </row>
    <row r="16" spans="1:21" x14ac:dyDescent="0.25">
      <c r="F16" s="13">
        <v>598</v>
      </c>
      <c r="G16" s="14">
        <v>2878113783</v>
      </c>
      <c r="L16">
        <v>13</v>
      </c>
      <c r="M16" s="15">
        <v>662</v>
      </c>
      <c r="N16" s="15" t="s">
        <v>127</v>
      </c>
      <c r="O16" s="12">
        <v>23425054076</v>
      </c>
      <c r="Q16">
        <v>13</v>
      </c>
      <c r="R16" s="15">
        <v>638</v>
      </c>
      <c r="S16" s="15" t="s">
        <v>106</v>
      </c>
      <c r="T16" s="15" t="s">
        <v>118</v>
      </c>
      <c r="U16" s="12">
        <v>288911318</v>
      </c>
    </row>
    <row r="17" spans="1:21" x14ac:dyDescent="0.25">
      <c r="A17" s="3" t="s">
        <v>164</v>
      </c>
      <c r="B17" t="s">
        <v>166</v>
      </c>
      <c r="F17" s="13">
        <v>556</v>
      </c>
      <c r="G17" s="14">
        <v>2586980654</v>
      </c>
      <c r="L17">
        <v>14</v>
      </c>
      <c r="M17" s="15">
        <v>638</v>
      </c>
      <c r="N17" s="15" t="s">
        <v>107</v>
      </c>
      <c r="O17" s="12">
        <v>22988090179</v>
      </c>
      <c r="Q17">
        <v>14</v>
      </c>
      <c r="R17" s="17">
        <v>598</v>
      </c>
      <c r="S17" s="17" t="s">
        <v>44</v>
      </c>
      <c r="T17" s="17" t="s">
        <v>59</v>
      </c>
      <c r="U17" s="14">
        <v>288241028</v>
      </c>
    </row>
    <row r="18" spans="1:21" x14ac:dyDescent="0.25">
      <c r="A18" s="2">
        <v>556</v>
      </c>
      <c r="B18" s="1">
        <v>4797582373</v>
      </c>
      <c r="F18" s="11">
        <v>662</v>
      </c>
      <c r="G18" s="12">
        <v>2577598946</v>
      </c>
      <c r="L18">
        <v>15</v>
      </c>
      <c r="M18" s="15">
        <v>603</v>
      </c>
      <c r="N18" s="15" t="s">
        <v>64</v>
      </c>
      <c r="O18" s="12">
        <v>22896977279</v>
      </c>
      <c r="Q18">
        <v>15</v>
      </c>
      <c r="R18" s="17">
        <v>598</v>
      </c>
      <c r="S18" s="17" t="s">
        <v>45</v>
      </c>
      <c r="T18" s="17" t="s">
        <v>60</v>
      </c>
      <c r="U18" s="14">
        <v>284630529</v>
      </c>
    </row>
    <row r="19" spans="1:21" x14ac:dyDescent="0.25">
      <c r="A19" s="2">
        <v>573</v>
      </c>
      <c r="B19" s="1">
        <v>4332134219</v>
      </c>
      <c r="F19" s="11">
        <v>603</v>
      </c>
      <c r="G19" s="12">
        <v>2406822092</v>
      </c>
      <c r="L19">
        <v>16</v>
      </c>
      <c r="M19" s="15">
        <v>638</v>
      </c>
      <c r="N19" s="15" t="s">
        <v>108</v>
      </c>
      <c r="O19" s="12">
        <v>22877139845</v>
      </c>
      <c r="Q19">
        <v>16</v>
      </c>
      <c r="R19" s="15">
        <v>638</v>
      </c>
      <c r="S19" s="15" t="s">
        <v>106</v>
      </c>
      <c r="T19" s="15" t="s">
        <v>119</v>
      </c>
      <c r="U19" s="12">
        <v>283389208</v>
      </c>
    </row>
    <row r="20" spans="1:21" x14ac:dyDescent="0.25">
      <c r="A20" s="2">
        <v>598</v>
      </c>
      <c r="B20" s="1">
        <v>5196184530</v>
      </c>
      <c r="F20" s="5">
        <v>573</v>
      </c>
      <c r="G20" s="6">
        <v>2313270837</v>
      </c>
      <c r="L20">
        <v>17</v>
      </c>
      <c r="M20" s="17">
        <v>598</v>
      </c>
      <c r="N20" s="17" t="s">
        <v>47</v>
      </c>
      <c r="O20" s="14">
        <v>22122213555</v>
      </c>
      <c r="Q20">
        <v>17</v>
      </c>
      <c r="R20" s="17">
        <v>556</v>
      </c>
      <c r="S20" s="17" t="s">
        <v>3</v>
      </c>
      <c r="T20" s="17" t="s">
        <v>15</v>
      </c>
      <c r="U20" s="14">
        <v>278412655</v>
      </c>
    </row>
    <row r="21" spans="1:21" x14ac:dyDescent="0.25">
      <c r="A21" s="2">
        <v>603</v>
      </c>
      <c r="B21" s="1">
        <v>4451448283</v>
      </c>
      <c r="F21" s="13">
        <v>667</v>
      </c>
      <c r="G21" s="14">
        <v>1828697296</v>
      </c>
      <c r="L21">
        <v>18</v>
      </c>
      <c r="M21" s="17">
        <v>556</v>
      </c>
      <c r="N21" s="17" t="s">
        <v>5</v>
      </c>
      <c r="O21" s="14">
        <v>21925902365</v>
      </c>
      <c r="Q21">
        <v>18</v>
      </c>
      <c r="R21" s="15">
        <v>662</v>
      </c>
      <c r="S21" s="15" t="s">
        <v>125</v>
      </c>
      <c r="T21" s="15" t="s">
        <v>137</v>
      </c>
      <c r="U21" s="12">
        <v>277433828</v>
      </c>
    </row>
    <row r="22" spans="1:21" x14ac:dyDescent="0.25">
      <c r="A22" s="2">
        <v>626</v>
      </c>
      <c r="B22" s="1">
        <v>3451848512</v>
      </c>
      <c r="F22" s="11">
        <v>626</v>
      </c>
      <c r="G22" s="12">
        <v>1800863741</v>
      </c>
      <c r="L22">
        <v>19</v>
      </c>
      <c r="M22" s="15">
        <v>603</v>
      </c>
      <c r="N22" s="15" t="s">
        <v>65</v>
      </c>
      <c r="O22" s="12">
        <v>21757327662</v>
      </c>
      <c r="Q22">
        <v>19</v>
      </c>
      <c r="R22" s="15">
        <v>638</v>
      </c>
      <c r="S22" s="15" t="s">
        <v>105</v>
      </c>
      <c r="T22" s="15" t="s">
        <v>120</v>
      </c>
      <c r="U22" s="12">
        <v>276377526</v>
      </c>
    </row>
    <row r="23" spans="1:21" x14ac:dyDescent="0.25">
      <c r="A23" s="2">
        <v>638</v>
      </c>
      <c r="B23" s="1">
        <v>5386027559</v>
      </c>
      <c r="L23">
        <v>20</v>
      </c>
      <c r="M23" s="17">
        <v>667</v>
      </c>
      <c r="N23" s="17" t="s">
        <v>145</v>
      </c>
      <c r="O23" s="14">
        <v>21370159902</v>
      </c>
      <c r="Q23">
        <v>20</v>
      </c>
      <c r="R23" s="17">
        <v>556</v>
      </c>
      <c r="S23" s="17" t="s">
        <v>3</v>
      </c>
      <c r="T23" s="17" t="s">
        <v>16</v>
      </c>
      <c r="U23" s="14">
        <v>270144817</v>
      </c>
    </row>
    <row r="24" spans="1:21" x14ac:dyDescent="0.25">
      <c r="A24" s="2">
        <v>662</v>
      </c>
      <c r="B24" s="1">
        <v>4749817907</v>
      </c>
      <c r="L24">
        <v>21</v>
      </c>
      <c r="M24" s="15">
        <v>638</v>
      </c>
      <c r="N24" s="15" t="s">
        <v>109</v>
      </c>
      <c r="O24" s="12">
        <v>21068140573</v>
      </c>
      <c r="Q24">
        <v>21</v>
      </c>
      <c r="R24" s="15">
        <v>638</v>
      </c>
      <c r="S24" s="15" t="s">
        <v>105</v>
      </c>
      <c r="T24" s="15" t="s">
        <v>121</v>
      </c>
      <c r="U24" s="12">
        <v>269096936</v>
      </c>
    </row>
    <row r="25" spans="1:21" x14ac:dyDescent="0.25">
      <c r="A25" s="2">
        <v>667</v>
      </c>
      <c r="B25" s="1">
        <v>3477718695</v>
      </c>
      <c r="F25" t="s">
        <v>0</v>
      </c>
      <c r="G25" t="s">
        <v>251</v>
      </c>
      <c r="L25">
        <v>22</v>
      </c>
      <c r="M25" s="15">
        <v>626</v>
      </c>
      <c r="N25" s="15" t="s">
        <v>85</v>
      </c>
      <c r="O25" s="12">
        <v>20791424244</v>
      </c>
      <c r="Q25">
        <v>22</v>
      </c>
      <c r="R25" s="17">
        <v>556</v>
      </c>
      <c r="S25" s="17" t="s">
        <v>3</v>
      </c>
      <c r="T25" s="17" t="s">
        <v>17</v>
      </c>
      <c r="U25" s="14">
        <v>268739106</v>
      </c>
    </row>
    <row r="26" spans="1:21" x14ac:dyDescent="0.25">
      <c r="A26" s="2" t="s">
        <v>250</v>
      </c>
      <c r="B26" s="1"/>
      <c r="F26" s="11">
        <v>638</v>
      </c>
      <c r="G26" s="12">
        <v>5386027559</v>
      </c>
      <c r="L26">
        <v>23</v>
      </c>
      <c r="M26" s="15">
        <v>662</v>
      </c>
      <c r="N26" s="15" t="s">
        <v>128</v>
      </c>
      <c r="O26" s="12">
        <v>20588422493</v>
      </c>
      <c r="Q26">
        <v>23</v>
      </c>
      <c r="R26" s="15">
        <v>638</v>
      </c>
      <c r="S26" s="15" t="s">
        <v>107</v>
      </c>
      <c r="T26" s="15" t="s">
        <v>122</v>
      </c>
      <c r="U26" s="12">
        <v>268404160</v>
      </c>
    </row>
    <row r="27" spans="1:21" x14ac:dyDescent="0.25">
      <c r="A27" s="2" t="s">
        <v>165</v>
      </c>
      <c r="B27" s="1">
        <v>35842762078</v>
      </c>
      <c r="F27" s="13">
        <v>598</v>
      </c>
      <c r="G27" s="14">
        <v>5196184530</v>
      </c>
      <c r="L27">
        <v>24</v>
      </c>
      <c r="M27" s="15">
        <v>626</v>
      </c>
      <c r="N27" s="15" t="s">
        <v>86</v>
      </c>
      <c r="O27" s="12">
        <v>19898444846</v>
      </c>
      <c r="Q27">
        <v>24</v>
      </c>
      <c r="R27" s="15">
        <v>603</v>
      </c>
      <c r="S27" s="15" t="s">
        <v>64</v>
      </c>
      <c r="T27" s="15" t="s">
        <v>75</v>
      </c>
      <c r="U27" s="12">
        <v>267899402</v>
      </c>
    </row>
    <row r="28" spans="1:21" x14ac:dyDescent="0.25">
      <c r="F28" s="13">
        <v>556</v>
      </c>
      <c r="G28" s="14">
        <v>4797582373</v>
      </c>
      <c r="L28">
        <v>25</v>
      </c>
      <c r="M28" s="15">
        <v>638</v>
      </c>
      <c r="N28" s="15" t="s">
        <v>110</v>
      </c>
      <c r="O28" s="12">
        <v>19871097475</v>
      </c>
      <c r="Q28">
        <v>25</v>
      </c>
      <c r="R28" s="15">
        <v>638</v>
      </c>
      <c r="S28" s="15" t="s">
        <v>108</v>
      </c>
      <c r="T28" s="15" t="s">
        <v>123</v>
      </c>
      <c r="U28" s="12">
        <v>267621998</v>
      </c>
    </row>
    <row r="29" spans="1:21" x14ac:dyDescent="0.25">
      <c r="F29" s="11">
        <v>662</v>
      </c>
      <c r="G29" s="12">
        <v>4749817907</v>
      </c>
      <c r="L29">
        <v>26</v>
      </c>
      <c r="M29" s="7">
        <v>573</v>
      </c>
      <c r="N29" s="7" t="s">
        <v>27</v>
      </c>
      <c r="O29" s="6">
        <v>19791076551</v>
      </c>
      <c r="Q29">
        <v>26</v>
      </c>
      <c r="R29" s="17">
        <v>556</v>
      </c>
      <c r="S29" s="17" t="s">
        <v>3</v>
      </c>
      <c r="T29" s="17" t="s">
        <v>18</v>
      </c>
      <c r="U29" s="14">
        <v>267564204</v>
      </c>
    </row>
    <row r="30" spans="1:21" x14ac:dyDescent="0.25">
      <c r="F30" s="11">
        <v>603</v>
      </c>
      <c r="G30" s="12">
        <v>4451448283</v>
      </c>
      <c r="L30">
        <v>27</v>
      </c>
      <c r="M30" s="15">
        <v>626</v>
      </c>
      <c r="N30" s="15" t="s">
        <v>87</v>
      </c>
      <c r="O30" s="12">
        <v>18926448111</v>
      </c>
      <c r="Q30">
        <v>27</v>
      </c>
      <c r="R30" s="15">
        <v>638</v>
      </c>
      <c r="S30" s="15" t="s">
        <v>106</v>
      </c>
      <c r="T30" s="15" t="s">
        <v>124</v>
      </c>
      <c r="U30" s="12">
        <v>267428355</v>
      </c>
    </row>
    <row r="31" spans="1:21" x14ac:dyDescent="0.25">
      <c r="F31" s="5">
        <v>573</v>
      </c>
      <c r="G31" s="6">
        <v>4332134219</v>
      </c>
      <c r="L31">
        <v>28</v>
      </c>
      <c r="M31" s="17">
        <v>556</v>
      </c>
      <c r="N31" s="17" t="s">
        <v>6</v>
      </c>
      <c r="O31" s="14">
        <v>18643902656</v>
      </c>
      <c r="Q31">
        <v>28</v>
      </c>
      <c r="R31" s="15">
        <v>638</v>
      </c>
      <c r="S31" s="15" t="s">
        <v>110</v>
      </c>
      <c r="T31" s="15" t="s">
        <v>229</v>
      </c>
      <c r="U31" s="12">
        <v>264415232</v>
      </c>
    </row>
    <row r="32" spans="1:21" x14ac:dyDescent="0.25">
      <c r="F32" s="13">
        <v>667</v>
      </c>
      <c r="G32" s="14">
        <v>3477718695</v>
      </c>
      <c r="L32">
        <v>29</v>
      </c>
      <c r="M32" s="15">
        <v>603</v>
      </c>
      <c r="N32" s="15" t="s">
        <v>66</v>
      </c>
      <c r="O32" s="12">
        <v>18610596955</v>
      </c>
      <c r="Q32">
        <v>29</v>
      </c>
      <c r="R32" s="7">
        <v>573</v>
      </c>
      <c r="S32" s="7" t="s">
        <v>26</v>
      </c>
      <c r="T32" s="7" t="s">
        <v>34</v>
      </c>
      <c r="U32" s="6">
        <v>263304436</v>
      </c>
    </row>
    <row r="33" spans="1:21" x14ac:dyDescent="0.25">
      <c r="F33" s="11">
        <v>626</v>
      </c>
      <c r="G33" s="12">
        <v>3451848512</v>
      </c>
      <c r="L33">
        <v>30</v>
      </c>
      <c r="M33" s="15">
        <v>638</v>
      </c>
      <c r="N33" s="15" t="s">
        <v>111</v>
      </c>
      <c r="O33" s="12">
        <v>17744830092</v>
      </c>
      <c r="Q33">
        <v>30</v>
      </c>
      <c r="R33" s="15">
        <v>638</v>
      </c>
      <c r="S33" s="15" t="s">
        <v>109</v>
      </c>
      <c r="T33" s="15" t="s">
        <v>228</v>
      </c>
      <c r="U33" s="12">
        <v>260283254</v>
      </c>
    </row>
    <row r="34" spans="1:21" x14ac:dyDescent="0.25">
      <c r="L34">
        <v>31</v>
      </c>
      <c r="M34" s="15">
        <v>662</v>
      </c>
      <c r="N34" s="15" t="s">
        <v>129</v>
      </c>
      <c r="O34" s="12">
        <v>17693804095</v>
      </c>
      <c r="Q34">
        <v>31</v>
      </c>
      <c r="R34" s="15">
        <v>662</v>
      </c>
      <c r="S34" s="15" t="s">
        <v>125</v>
      </c>
      <c r="T34" s="15" t="s">
        <v>138</v>
      </c>
      <c r="U34" s="12">
        <v>259121312</v>
      </c>
    </row>
    <row r="35" spans="1:21" x14ac:dyDescent="0.25">
      <c r="E35" s="50" t="s">
        <v>254</v>
      </c>
      <c r="F35" s="50"/>
      <c r="G35" s="50"/>
      <c r="H35" s="50"/>
      <c r="I35" s="50"/>
      <c r="J35" s="50"/>
      <c r="L35">
        <v>32</v>
      </c>
      <c r="M35" s="17">
        <v>556</v>
      </c>
      <c r="N35" s="17" t="s">
        <v>7</v>
      </c>
      <c r="O35" s="14">
        <v>17673058629</v>
      </c>
      <c r="Q35">
        <v>32</v>
      </c>
      <c r="R35" s="7">
        <v>573</v>
      </c>
      <c r="S35" s="7" t="s">
        <v>26</v>
      </c>
      <c r="T35" s="7" t="s">
        <v>35</v>
      </c>
      <c r="U35" s="6">
        <v>255664276</v>
      </c>
    </row>
    <row r="36" spans="1:21" x14ac:dyDescent="0.25">
      <c r="A36" s="3" t="s">
        <v>164</v>
      </c>
      <c r="B36" t="s">
        <v>166</v>
      </c>
      <c r="C36" t="s">
        <v>255</v>
      </c>
      <c r="D36" t="s">
        <v>257</v>
      </c>
      <c r="E36" s="8" t="s">
        <v>167</v>
      </c>
      <c r="F36" t="s">
        <v>0</v>
      </c>
      <c r="G36" t="s">
        <v>253</v>
      </c>
      <c r="H36" t="s">
        <v>2</v>
      </c>
      <c r="I36" t="s">
        <v>258</v>
      </c>
      <c r="J36" t="s">
        <v>259</v>
      </c>
      <c r="L36">
        <v>33</v>
      </c>
      <c r="M36" s="7">
        <v>573</v>
      </c>
      <c r="N36" s="7" t="s">
        <v>28</v>
      </c>
      <c r="O36" s="6">
        <v>17581192517</v>
      </c>
      <c r="Q36">
        <v>33</v>
      </c>
      <c r="R36" s="15">
        <v>638</v>
      </c>
      <c r="S36" s="15" t="s">
        <v>106</v>
      </c>
      <c r="T36" s="15" t="s">
        <v>227</v>
      </c>
      <c r="U36" s="12">
        <v>252811062</v>
      </c>
    </row>
    <row r="37" spans="1:21" x14ac:dyDescent="0.25">
      <c r="A37" s="2">
        <v>208</v>
      </c>
      <c r="B37">
        <v>238570486</v>
      </c>
      <c r="C37">
        <v>556</v>
      </c>
      <c r="D37">
        <v>1</v>
      </c>
      <c r="E37">
        <v>1</v>
      </c>
      <c r="F37" s="15">
        <v>662</v>
      </c>
      <c r="G37" s="11" t="s">
        <v>125</v>
      </c>
      <c r="H37" s="12">
        <v>3630337851</v>
      </c>
      <c r="I37" s="12">
        <v>15</v>
      </c>
      <c r="J37" s="16">
        <f>H37/(VLOOKUP(F37,$F$26:$G$33,2,0))</f>
        <v>0.76431095298407614</v>
      </c>
      <c r="L37">
        <v>34</v>
      </c>
      <c r="M37" s="17">
        <v>598</v>
      </c>
      <c r="N37" s="17" t="s">
        <v>48</v>
      </c>
      <c r="O37" s="14">
        <v>17556404050</v>
      </c>
      <c r="Q37">
        <v>34</v>
      </c>
      <c r="R37" s="15">
        <v>603</v>
      </c>
      <c r="S37" s="15" t="s">
        <v>65</v>
      </c>
      <c r="T37" s="15" t="s">
        <v>76</v>
      </c>
      <c r="U37" s="12">
        <v>252261885</v>
      </c>
    </row>
    <row r="38" spans="1:21" x14ac:dyDescent="0.25">
      <c r="A38" s="2" t="s">
        <v>219</v>
      </c>
      <c r="B38">
        <v>245945122</v>
      </c>
      <c r="C38">
        <v>638</v>
      </c>
      <c r="D38">
        <v>1</v>
      </c>
      <c r="E38">
        <v>2</v>
      </c>
      <c r="F38" s="17">
        <v>556</v>
      </c>
      <c r="G38" s="13" t="s">
        <v>3</v>
      </c>
      <c r="H38" s="14">
        <v>3209741916</v>
      </c>
      <c r="I38" s="14">
        <v>13</v>
      </c>
      <c r="J38" s="18">
        <f t="shared" ref="J38:J72" si="0">H38/(VLOOKUP(F38,$F$26:$G$33,2,0))</f>
        <v>0.66903320598806115</v>
      </c>
      <c r="L38">
        <v>35</v>
      </c>
      <c r="M38" s="15">
        <v>603</v>
      </c>
      <c r="N38" s="15" t="s">
        <v>67</v>
      </c>
      <c r="O38" s="12">
        <v>17050792285</v>
      </c>
      <c r="Q38">
        <v>35</v>
      </c>
      <c r="R38" s="15">
        <v>638</v>
      </c>
      <c r="S38" s="15" t="s">
        <v>108</v>
      </c>
      <c r="T38" s="15" t="s">
        <v>226</v>
      </c>
      <c r="U38" s="12">
        <v>251390355</v>
      </c>
    </row>
    <row r="39" spans="1:21" x14ac:dyDescent="0.25">
      <c r="A39" s="2" t="s">
        <v>86</v>
      </c>
      <c r="B39">
        <v>176906796</v>
      </c>
      <c r="C39">
        <v>626</v>
      </c>
      <c r="D39">
        <v>1</v>
      </c>
      <c r="E39">
        <v>3</v>
      </c>
      <c r="F39" s="17">
        <v>667</v>
      </c>
      <c r="G39" s="13" t="s">
        <v>145</v>
      </c>
      <c r="H39" s="14">
        <v>3152973401</v>
      </c>
      <c r="I39" s="14">
        <v>18</v>
      </c>
      <c r="J39" s="18">
        <f t="shared" si="0"/>
        <v>0.90662117253275998</v>
      </c>
      <c r="L39">
        <v>36</v>
      </c>
      <c r="M39" s="7">
        <v>573</v>
      </c>
      <c r="N39" s="7" t="s">
        <v>29</v>
      </c>
      <c r="O39" s="6">
        <v>16826733548</v>
      </c>
      <c r="Q39">
        <v>36</v>
      </c>
      <c r="R39" s="17">
        <v>598</v>
      </c>
      <c r="S39" s="17" t="s">
        <v>45</v>
      </c>
      <c r="T39" s="17" t="s">
        <v>61</v>
      </c>
      <c r="U39" s="14">
        <v>248107896</v>
      </c>
    </row>
    <row r="40" spans="1:21" x14ac:dyDescent="0.25">
      <c r="A40" s="2" t="s">
        <v>3</v>
      </c>
      <c r="B40">
        <v>3209741916</v>
      </c>
      <c r="C40">
        <v>556</v>
      </c>
      <c r="D40">
        <v>13</v>
      </c>
      <c r="E40">
        <v>4</v>
      </c>
      <c r="F40" s="17">
        <v>598</v>
      </c>
      <c r="G40" s="13" t="s">
        <v>45</v>
      </c>
      <c r="H40" s="14">
        <v>2474133778</v>
      </c>
      <c r="I40" s="14">
        <v>10</v>
      </c>
      <c r="J40" s="18">
        <f t="shared" si="0"/>
        <v>0.47614432545951174</v>
      </c>
      <c r="L40">
        <v>37</v>
      </c>
      <c r="M40" s="15">
        <v>638</v>
      </c>
      <c r="N40" s="15" t="s">
        <v>112</v>
      </c>
      <c r="O40" s="12">
        <v>16369178923</v>
      </c>
      <c r="Q40">
        <v>37</v>
      </c>
      <c r="R40" s="17">
        <v>598</v>
      </c>
      <c r="S40" s="17" t="s">
        <v>45</v>
      </c>
      <c r="T40" s="17" t="s">
        <v>62</v>
      </c>
      <c r="U40" s="14">
        <v>246419127</v>
      </c>
    </row>
    <row r="41" spans="1:21" x14ac:dyDescent="0.25">
      <c r="A41" s="2" t="s">
        <v>26</v>
      </c>
      <c r="B41">
        <v>945462355</v>
      </c>
      <c r="C41">
        <v>573</v>
      </c>
      <c r="D41">
        <v>4</v>
      </c>
      <c r="E41">
        <v>5</v>
      </c>
      <c r="F41" s="17">
        <v>598</v>
      </c>
      <c r="G41" s="13" t="s">
        <v>44</v>
      </c>
      <c r="H41" s="14">
        <v>2385846872</v>
      </c>
      <c r="I41" s="14">
        <v>9</v>
      </c>
      <c r="J41" s="18">
        <f t="shared" si="0"/>
        <v>0.45915360746436001</v>
      </c>
      <c r="L41">
        <v>38</v>
      </c>
      <c r="M41" s="17">
        <v>667</v>
      </c>
      <c r="N41" s="17" t="s">
        <v>146</v>
      </c>
      <c r="O41" s="14">
        <v>16267129551</v>
      </c>
      <c r="Q41">
        <v>38</v>
      </c>
      <c r="R41" s="15">
        <v>638</v>
      </c>
      <c r="S41" s="15" t="s">
        <v>219</v>
      </c>
      <c r="T41" s="15" t="s">
        <v>225</v>
      </c>
      <c r="U41" s="12">
        <v>245945122</v>
      </c>
    </row>
    <row r="42" spans="1:21" x14ac:dyDescent="0.25">
      <c r="A42" s="2" t="s">
        <v>146</v>
      </c>
      <c r="B42">
        <v>161964392</v>
      </c>
      <c r="C42">
        <v>667</v>
      </c>
      <c r="D42">
        <v>1</v>
      </c>
      <c r="E42">
        <v>6</v>
      </c>
      <c r="F42" s="7">
        <v>573</v>
      </c>
      <c r="G42" s="5" t="s">
        <v>24</v>
      </c>
      <c r="H42" s="6">
        <v>2109854388</v>
      </c>
      <c r="I42" s="6">
        <v>10</v>
      </c>
      <c r="J42" s="10">
        <f t="shared" si="0"/>
        <v>0.48702424286545404</v>
      </c>
      <c r="L42">
        <v>39</v>
      </c>
      <c r="M42" s="15">
        <v>662</v>
      </c>
      <c r="N42" s="15" t="s">
        <v>130</v>
      </c>
      <c r="O42" s="12">
        <v>15432834960</v>
      </c>
      <c r="Q42">
        <v>39</v>
      </c>
      <c r="R42" s="17">
        <v>598</v>
      </c>
      <c r="S42" s="17" t="s">
        <v>44</v>
      </c>
      <c r="T42" s="17" t="s">
        <v>63</v>
      </c>
      <c r="U42" s="14">
        <v>245918432</v>
      </c>
    </row>
    <row r="43" spans="1:21" x14ac:dyDescent="0.25">
      <c r="A43" s="2" t="s">
        <v>65</v>
      </c>
      <c r="B43">
        <v>895790583</v>
      </c>
      <c r="C43">
        <v>603</v>
      </c>
      <c r="D43">
        <v>4</v>
      </c>
      <c r="E43">
        <v>7</v>
      </c>
      <c r="F43" s="15">
        <v>626</v>
      </c>
      <c r="G43" s="11" t="s">
        <v>85</v>
      </c>
      <c r="H43" s="12">
        <v>2073721050</v>
      </c>
      <c r="I43" s="12">
        <v>12</v>
      </c>
      <c r="J43" s="16">
        <f t="shared" si="0"/>
        <v>0.60075667944028244</v>
      </c>
      <c r="L43">
        <v>40</v>
      </c>
      <c r="M43" s="15">
        <v>626</v>
      </c>
      <c r="N43" s="15" t="s">
        <v>88</v>
      </c>
      <c r="O43" s="12">
        <v>15095612779</v>
      </c>
      <c r="Q43">
        <v>40</v>
      </c>
      <c r="R43" s="17">
        <v>556</v>
      </c>
      <c r="S43" s="17" t="s">
        <v>3</v>
      </c>
      <c r="T43" s="17" t="s">
        <v>19</v>
      </c>
      <c r="U43" s="14">
        <v>245431994</v>
      </c>
    </row>
    <row r="44" spans="1:21" x14ac:dyDescent="0.25">
      <c r="A44" s="2" t="s">
        <v>87</v>
      </c>
      <c r="B44">
        <v>336572740</v>
      </c>
      <c r="C44">
        <v>626</v>
      </c>
      <c r="D44">
        <v>2</v>
      </c>
      <c r="E44">
        <v>8</v>
      </c>
      <c r="F44" s="15">
        <v>603</v>
      </c>
      <c r="G44" s="11" t="s">
        <v>64</v>
      </c>
      <c r="H44" s="12">
        <v>2021625396</v>
      </c>
      <c r="I44" s="12">
        <v>9</v>
      </c>
      <c r="J44" s="16">
        <f t="shared" si="0"/>
        <v>0.45415003555596739</v>
      </c>
      <c r="L44">
        <v>41</v>
      </c>
      <c r="M44" s="15">
        <v>638</v>
      </c>
      <c r="N44" s="15" t="s">
        <v>113</v>
      </c>
      <c r="O44" s="12">
        <v>14804428067</v>
      </c>
      <c r="Q44">
        <v>41</v>
      </c>
      <c r="R44" s="7">
        <v>573</v>
      </c>
      <c r="S44" s="7" t="s">
        <v>24</v>
      </c>
      <c r="T44" s="7" t="s">
        <v>36</v>
      </c>
      <c r="U44" s="6">
        <v>244273528</v>
      </c>
    </row>
    <row r="45" spans="1:21" x14ac:dyDescent="0.25">
      <c r="A45" s="2" t="s">
        <v>125</v>
      </c>
      <c r="B45">
        <v>3630337851</v>
      </c>
      <c r="C45">
        <v>662</v>
      </c>
      <c r="D45">
        <v>15</v>
      </c>
      <c r="E45">
        <v>9</v>
      </c>
      <c r="F45" s="15">
        <v>638</v>
      </c>
      <c r="G45" s="11" t="s">
        <v>106</v>
      </c>
      <c r="H45" s="12">
        <v>1679537320</v>
      </c>
      <c r="I45" s="12">
        <v>6</v>
      </c>
      <c r="J45" s="16">
        <f t="shared" si="0"/>
        <v>0.31183229227884462</v>
      </c>
      <c r="L45">
        <v>42</v>
      </c>
      <c r="M45" s="15">
        <v>603</v>
      </c>
      <c r="N45" s="15" t="s">
        <v>68</v>
      </c>
      <c r="O45" s="12">
        <v>14599003779</v>
      </c>
      <c r="Q45">
        <v>42</v>
      </c>
      <c r="R45" s="17">
        <v>598</v>
      </c>
      <c r="S45" s="17" t="s">
        <v>45</v>
      </c>
      <c r="T45" s="17" t="s">
        <v>198</v>
      </c>
      <c r="U45" s="14">
        <v>244031928</v>
      </c>
    </row>
    <row r="46" spans="1:21" x14ac:dyDescent="0.25">
      <c r="A46" s="2" t="s">
        <v>107</v>
      </c>
      <c r="B46">
        <v>268404160</v>
      </c>
      <c r="C46">
        <v>638</v>
      </c>
      <c r="D46">
        <v>1</v>
      </c>
      <c r="E46">
        <v>10</v>
      </c>
      <c r="F46" s="15">
        <v>638</v>
      </c>
      <c r="G46" s="11" t="s">
        <v>105</v>
      </c>
      <c r="H46" s="12">
        <v>1674697974</v>
      </c>
      <c r="I46" s="12">
        <v>6</v>
      </c>
      <c r="J46" s="16">
        <f t="shared" si="0"/>
        <v>0.31093379223461193</v>
      </c>
      <c r="L46">
        <v>43</v>
      </c>
      <c r="M46" s="15">
        <v>638</v>
      </c>
      <c r="N46" s="15" t="s">
        <v>114</v>
      </c>
      <c r="O46" s="12">
        <v>14326413765</v>
      </c>
      <c r="Q46">
        <v>43</v>
      </c>
      <c r="R46" s="15">
        <v>662</v>
      </c>
      <c r="S46" s="15" t="s">
        <v>125</v>
      </c>
      <c r="T46" s="15" t="s">
        <v>139</v>
      </c>
      <c r="U46" s="12">
        <v>242408105</v>
      </c>
    </row>
    <row r="47" spans="1:21" x14ac:dyDescent="0.25">
      <c r="A47" s="2" t="s">
        <v>145</v>
      </c>
      <c r="B47">
        <v>3152973401</v>
      </c>
      <c r="C47">
        <v>667</v>
      </c>
      <c r="D47">
        <v>18</v>
      </c>
      <c r="E47">
        <v>11</v>
      </c>
      <c r="F47" s="7">
        <v>573</v>
      </c>
      <c r="G47" s="5" t="s">
        <v>25</v>
      </c>
      <c r="H47" s="6">
        <v>1070997485</v>
      </c>
      <c r="I47" s="6">
        <v>5</v>
      </c>
      <c r="J47" s="10">
        <f t="shared" si="0"/>
        <v>0.24722167662829747</v>
      </c>
      <c r="L47">
        <v>44</v>
      </c>
      <c r="M47" s="15">
        <v>662</v>
      </c>
      <c r="N47" s="15" t="s">
        <v>131</v>
      </c>
      <c r="O47" s="12">
        <v>14165831205</v>
      </c>
      <c r="Q47">
        <v>44</v>
      </c>
      <c r="R47" s="17">
        <v>556</v>
      </c>
      <c r="S47" s="17" t="s">
        <v>3</v>
      </c>
      <c r="T47" s="17" t="s">
        <v>20</v>
      </c>
      <c r="U47" s="14">
        <v>240023696</v>
      </c>
    </row>
    <row r="48" spans="1:21" x14ac:dyDescent="0.25">
      <c r="A48" s="2" t="s">
        <v>29</v>
      </c>
      <c r="B48">
        <v>205819991</v>
      </c>
      <c r="C48">
        <v>573</v>
      </c>
      <c r="D48">
        <v>1</v>
      </c>
      <c r="E48">
        <v>12</v>
      </c>
      <c r="F48" s="7">
        <v>573</v>
      </c>
      <c r="G48" s="5" t="s">
        <v>26</v>
      </c>
      <c r="H48" s="6">
        <v>945462355</v>
      </c>
      <c r="I48" s="6">
        <v>4</v>
      </c>
      <c r="J48" s="10">
        <f t="shared" si="0"/>
        <v>0.21824401258238116</v>
      </c>
      <c r="L48">
        <v>45</v>
      </c>
      <c r="M48" s="15">
        <v>603</v>
      </c>
      <c r="N48" s="15" t="s">
        <v>69</v>
      </c>
      <c r="O48" s="12">
        <v>12990534738</v>
      </c>
      <c r="Q48">
        <v>45</v>
      </c>
      <c r="R48" s="17">
        <v>598</v>
      </c>
      <c r="S48" s="17" t="s">
        <v>45</v>
      </c>
      <c r="T48" s="17" t="s">
        <v>197</v>
      </c>
      <c r="U48" s="14">
        <v>239714476</v>
      </c>
    </row>
    <row r="49" spans="1:21" x14ac:dyDescent="0.25">
      <c r="A49" s="2" t="s">
        <v>109</v>
      </c>
      <c r="B49">
        <v>260283254</v>
      </c>
      <c r="C49">
        <v>638</v>
      </c>
      <c r="D49">
        <v>1</v>
      </c>
      <c r="E49">
        <v>13</v>
      </c>
      <c r="F49" s="15">
        <v>603</v>
      </c>
      <c r="G49" s="11" t="s">
        <v>65</v>
      </c>
      <c r="H49" s="12">
        <v>895790583</v>
      </c>
      <c r="I49" s="12">
        <v>4</v>
      </c>
      <c r="J49" s="16">
        <f t="shared" si="0"/>
        <v>0.20123576104905183</v>
      </c>
      <c r="L49">
        <v>46</v>
      </c>
      <c r="M49" s="17">
        <v>667</v>
      </c>
      <c r="N49" s="17" t="s">
        <v>147</v>
      </c>
      <c r="O49" s="14">
        <v>12958775644</v>
      </c>
      <c r="Q49">
        <v>46</v>
      </c>
      <c r="R49" s="15">
        <v>638</v>
      </c>
      <c r="S49" s="15" t="s">
        <v>110</v>
      </c>
      <c r="T49" s="15" t="s">
        <v>224</v>
      </c>
      <c r="U49" s="12">
        <v>238573470</v>
      </c>
    </row>
    <row r="50" spans="1:21" x14ac:dyDescent="0.25">
      <c r="A50" s="2" t="s">
        <v>105</v>
      </c>
      <c r="B50">
        <v>1674697974</v>
      </c>
      <c r="C50">
        <v>638</v>
      </c>
      <c r="D50">
        <v>6</v>
      </c>
      <c r="E50">
        <v>14</v>
      </c>
      <c r="F50" s="15">
        <v>603</v>
      </c>
      <c r="G50" s="11" t="s">
        <v>80</v>
      </c>
      <c r="H50" s="12">
        <v>819862386</v>
      </c>
      <c r="I50" s="12">
        <v>4</v>
      </c>
      <c r="J50" s="16">
        <f t="shared" si="0"/>
        <v>0.18417879617540195</v>
      </c>
      <c r="L50">
        <v>47</v>
      </c>
      <c r="M50" s="7">
        <v>573</v>
      </c>
      <c r="N50" s="7" t="s">
        <v>30</v>
      </c>
      <c r="O50" s="6">
        <v>12274164776</v>
      </c>
      <c r="Q50">
        <v>47</v>
      </c>
      <c r="R50" s="17">
        <v>556</v>
      </c>
      <c r="S50" s="13">
        <v>208</v>
      </c>
      <c r="T50" s="17" t="s">
        <v>21</v>
      </c>
      <c r="U50" s="14">
        <v>238570486</v>
      </c>
    </row>
    <row r="51" spans="1:21" x14ac:dyDescent="0.25">
      <c r="A51" s="2" t="s">
        <v>110</v>
      </c>
      <c r="B51">
        <v>738147376</v>
      </c>
      <c r="C51">
        <v>638</v>
      </c>
      <c r="D51">
        <v>3</v>
      </c>
      <c r="E51">
        <v>15</v>
      </c>
      <c r="F51" s="15">
        <v>638</v>
      </c>
      <c r="G51" s="11" t="s">
        <v>110</v>
      </c>
      <c r="H51" s="12">
        <v>738147376</v>
      </c>
      <c r="I51" s="12">
        <v>3</v>
      </c>
      <c r="J51" s="16">
        <f t="shared" si="0"/>
        <v>0.13704857019651948</v>
      </c>
      <c r="L51">
        <v>48</v>
      </c>
      <c r="M51" s="15">
        <v>603</v>
      </c>
      <c r="N51" s="15" t="s">
        <v>70</v>
      </c>
      <c r="O51" s="12">
        <v>11311605174</v>
      </c>
      <c r="Q51">
        <v>48</v>
      </c>
      <c r="R51" s="15">
        <v>638</v>
      </c>
      <c r="S51" s="15" t="s">
        <v>105</v>
      </c>
      <c r="T51" s="15" t="s">
        <v>223</v>
      </c>
      <c r="U51" s="12">
        <v>237953253</v>
      </c>
    </row>
    <row r="52" spans="1:21" x14ac:dyDescent="0.25">
      <c r="A52" s="2" t="s">
        <v>106</v>
      </c>
      <c r="B52">
        <v>1679537320</v>
      </c>
      <c r="C52">
        <v>638</v>
      </c>
      <c r="D52">
        <v>6</v>
      </c>
      <c r="E52">
        <v>16</v>
      </c>
      <c r="F52" s="15">
        <v>662</v>
      </c>
      <c r="G52" s="11" t="s">
        <v>126</v>
      </c>
      <c r="H52" s="12">
        <v>675706696</v>
      </c>
      <c r="I52" s="12">
        <v>3</v>
      </c>
      <c r="J52" s="16">
        <f t="shared" si="0"/>
        <v>0.14225949483330372</v>
      </c>
      <c r="L52">
        <v>49</v>
      </c>
      <c r="M52" s="17">
        <v>556</v>
      </c>
      <c r="N52" s="17" t="s">
        <v>8</v>
      </c>
      <c r="O52" s="14">
        <v>11285174330</v>
      </c>
      <c r="Q52">
        <v>49</v>
      </c>
      <c r="R52" s="17">
        <v>556</v>
      </c>
      <c r="S52" s="17" t="s">
        <v>5</v>
      </c>
      <c r="T52" s="17" t="s">
        <v>22</v>
      </c>
      <c r="U52" s="14">
        <v>237069945</v>
      </c>
    </row>
    <row r="53" spans="1:21" x14ac:dyDescent="0.25">
      <c r="A53" s="2" t="s">
        <v>90</v>
      </c>
      <c r="B53">
        <v>338755352</v>
      </c>
      <c r="C53">
        <v>626</v>
      </c>
      <c r="D53">
        <v>2</v>
      </c>
      <c r="E53">
        <v>17</v>
      </c>
      <c r="F53" s="17">
        <v>556</v>
      </c>
      <c r="G53" s="13" t="s">
        <v>4</v>
      </c>
      <c r="H53" s="14">
        <v>658609507</v>
      </c>
      <c r="I53" s="14">
        <v>3</v>
      </c>
      <c r="J53" s="18">
        <f t="shared" si="0"/>
        <v>0.13727945781745102</v>
      </c>
      <c r="L53">
        <v>50</v>
      </c>
      <c r="M53" s="15">
        <v>662</v>
      </c>
      <c r="N53" s="15" t="s">
        <v>132</v>
      </c>
      <c r="O53" s="12">
        <v>11015746105</v>
      </c>
      <c r="Q53">
        <v>50</v>
      </c>
      <c r="R53" s="17">
        <v>556</v>
      </c>
      <c r="S53" s="17" t="s">
        <v>3</v>
      </c>
      <c r="T53" s="17" t="s">
        <v>23</v>
      </c>
      <c r="U53" s="14">
        <v>236896955</v>
      </c>
    </row>
    <row r="54" spans="1:21" x14ac:dyDescent="0.25">
      <c r="A54" s="2" t="s">
        <v>64</v>
      </c>
      <c r="B54">
        <v>2021625396</v>
      </c>
      <c r="C54">
        <v>603</v>
      </c>
      <c r="D54">
        <v>9</v>
      </c>
      <c r="E54">
        <v>18</v>
      </c>
      <c r="F54" s="15">
        <v>638</v>
      </c>
      <c r="G54" s="11" t="s">
        <v>108</v>
      </c>
      <c r="H54" s="12">
        <v>519012353</v>
      </c>
      <c r="I54" s="12">
        <v>2</v>
      </c>
      <c r="J54" s="16">
        <f t="shared" si="0"/>
        <v>9.6362736230848914E-2</v>
      </c>
      <c r="L54">
        <v>51</v>
      </c>
      <c r="M54" s="17">
        <v>556</v>
      </c>
      <c r="N54" s="17" t="s">
        <v>9</v>
      </c>
      <c r="O54" s="14">
        <v>10750491097</v>
      </c>
      <c r="Q54">
        <v>51</v>
      </c>
      <c r="R54" s="15">
        <v>603</v>
      </c>
      <c r="S54" s="15" t="s">
        <v>64</v>
      </c>
      <c r="T54" s="15" t="s">
        <v>77</v>
      </c>
      <c r="U54" s="12">
        <v>236510648</v>
      </c>
    </row>
    <row r="55" spans="1:21" x14ac:dyDescent="0.25">
      <c r="A55" s="2" t="s">
        <v>108</v>
      </c>
      <c r="B55">
        <v>519012353</v>
      </c>
      <c r="C55">
        <v>638</v>
      </c>
      <c r="D55">
        <v>2</v>
      </c>
      <c r="E55">
        <v>19</v>
      </c>
      <c r="F55" s="15">
        <v>603</v>
      </c>
      <c r="G55" s="11" t="s">
        <v>69</v>
      </c>
      <c r="H55" s="12">
        <v>422716898</v>
      </c>
      <c r="I55" s="12">
        <v>2</v>
      </c>
      <c r="J55" s="16">
        <f t="shared" si="0"/>
        <v>9.4961655426695199E-2</v>
      </c>
      <c r="L55">
        <v>52</v>
      </c>
      <c r="M55" s="17">
        <v>556</v>
      </c>
      <c r="N55" s="17" t="s">
        <v>10</v>
      </c>
      <c r="O55" s="14">
        <v>9572266855</v>
      </c>
      <c r="Q55">
        <v>52</v>
      </c>
      <c r="R55" s="17">
        <v>598</v>
      </c>
      <c r="S55" s="17" t="s">
        <v>44</v>
      </c>
      <c r="T55" s="17" t="s">
        <v>196</v>
      </c>
      <c r="U55" s="14">
        <v>236231186</v>
      </c>
    </row>
    <row r="56" spans="1:21" x14ac:dyDescent="0.25">
      <c r="A56" s="2" t="s">
        <v>80</v>
      </c>
      <c r="B56">
        <v>819862386</v>
      </c>
      <c r="C56">
        <v>603</v>
      </c>
      <c r="D56">
        <v>4</v>
      </c>
      <c r="E56">
        <v>20</v>
      </c>
      <c r="F56" s="15">
        <v>626</v>
      </c>
      <c r="G56" s="11" t="s">
        <v>90</v>
      </c>
      <c r="H56" s="12">
        <v>338755352</v>
      </c>
      <c r="I56" s="12">
        <v>2</v>
      </c>
      <c r="J56" s="16">
        <f t="shared" si="0"/>
        <v>9.813737503901214E-2</v>
      </c>
      <c r="L56">
        <v>53</v>
      </c>
      <c r="M56" s="17">
        <v>556</v>
      </c>
      <c r="N56" s="17" t="s">
        <v>11</v>
      </c>
      <c r="O56" s="14">
        <v>9566586327</v>
      </c>
      <c r="Q56">
        <v>53</v>
      </c>
      <c r="R56" s="15">
        <v>662</v>
      </c>
      <c r="S56" s="15" t="s">
        <v>126</v>
      </c>
      <c r="T56" s="15" t="s">
        <v>140</v>
      </c>
      <c r="U56" s="12">
        <v>235575978</v>
      </c>
    </row>
    <row r="57" spans="1:21" x14ac:dyDescent="0.25">
      <c r="A57" s="2" t="s">
        <v>168</v>
      </c>
      <c r="B57">
        <v>234363693</v>
      </c>
      <c r="C57">
        <v>556</v>
      </c>
      <c r="D57">
        <v>1</v>
      </c>
      <c r="E57">
        <v>21</v>
      </c>
      <c r="F57" s="15">
        <v>626</v>
      </c>
      <c r="G57" s="11" t="s">
        <v>87</v>
      </c>
      <c r="H57" s="12">
        <v>336572740</v>
      </c>
      <c r="I57" s="12">
        <v>2</v>
      </c>
      <c r="J57" s="16">
        <f t="shared" si="0"/>
        <v>9.7505072667569026E-2</v>
      </c>
      <c r="L57">
        <v>54</v>
      </c>
      <c r="M57" s="17">
        <v>598</v>
      </c>
      <c r="N57" s="17" t="s">
        <v>49</v>
      </c>
      <c r="O57" s="14">
        <v>9495713263</v>
      </c>
      <c r="Q57">
        <v>54</v>
      </c>
      <c r="R57" s="15">
        <v>603</v>
      </c>
      <c r="S57" s="15" t="s">
        <v>64</v>
      </c>
      <c r="T57" s="15" t="s">
        <v>78</v>
      </c>
      <c r="U57" s="12">
        <v>235375194</v>
      </c>
    </row>
    <row r="58" spans="1:21" x14ac:dyDescent="0.25">
      <c r="A58" s="2" t="s">
        <v>45</v>
      </c>
      <c r="B58">
        <v>2474133778</v>
      </c>
      <c r="C58">
        <v>598</v>
      </c>
      <c r="D58">
        <v>10</v>
      </c>
      <c r="E58">
        <v>22</v>
      </c>
      <c r="F58" s="17">
        <v>598</v>
      </c>
      <c r="G58" s="13" t="s">
        <v>46</v>
      </c>
      <c r="H58" s="14">
        <v>336203880</v>
      </c>
      <c r="I58" s="14">
        <v>1</v>
      </c>
      <c r="J58" s="18">
        <f t="shared" si="0"/>
        <v>6.4702067076128258E-2</v>
      </c>
      <c r="L58">
        <v>55</v>
      </c>
      <c r="M58" s="15">
        <v>626</v>
      </c>
      <c r="N58" s="15" t="s">
        <v>89</v>
      </c>
      <c r="O58" s="12">
        <v>9052734041</v>
      </c>
      <c r="Q58">
        <v>55</v>
      </c>
      <c r="R58" s="17">
        <v>598</v>
      </c>
      <c r="S58" s="17" t="s">
        <v>44</v>
      </c>
      <c r="T58" s="17" t="s">
        <v>195</v>
      </c>
      <c r="U58" s="14">
        <v>235252096</v>
      </c>
    </row>
    <row r="59" spans="1:21" x14ac:dyDescent="0.25">
      <c r="A59" s="2" t="s">
        <v>69</v>
      </c>
      <c r="B59">
        <v>422716898</v>
      </c>
      <c r="C59">
        <v>603</v>
      </c>
      <c r="D59">
        <v>2</v>
      </c>
      <c r="E59">
        <v>23</v>
      </c>
      <c r="F59" s="15">
        <v>626</v>
      </c>
      <c r="G59" s="11" t="s">
        <v>89</v>
      </c>
      <c r="H59" s="12">
        <v>331199940</v>
      </c>
      <c r="I59" s="12">
        <v>2</v>
      </c>
      <c r="J59" s="16">
        <f t="shared" si="0"/>
        <v>9.5948573307495136E-2</v>
      </c>
      <c r="L59">
        <v>56</v>
      </c>
      <c r="M59" s="17">
        <v>598</v>
      </c>
      <c r="N59" s="17" t="s">
        <v>50</v>
      </c>
      <c r="O59" s="14">
        <v>8960457671</v>
      </c>
      <c r="Q59">
        <v>56</v>
      </c>
      <c r="R59" s="15">
        <v>638</v>
      </c>
      <c r="S59" s="15" t="s">
        <v>110</v>
      </c>
      <c r="T59" s="15" t="s">
        <v>222</v>
      </c>
      <c r="U59" s="12">
        <v>235158674</v>
      </c>
    </row>
    <row r="60" spans="1:21" x14ac:dyDescent="0.25">
      <c r="A60" s="2" t="s">
        <v>44</v>
      </c>
      <c r="B60">
        <v>2385846872</v>
      </c>
      <c r="C60">
        <v>598</v>
      </c>
      <c r="D60">
        <v>9</v>
      </c>
      <c r="E60">
        <v>24</v>
      </c>
      <c r="F60" s="15">
        <v>638</v>
      </c>
      <c r="G60" s="11" t="s">
        <v>107</v>
      </c>
      <c r="H60" s="12">
        <v>268404160</v>
      </c>
      <c r="I60" s="12">
        <v>1</v>
      </c>
      <c r="J60" s="16">
        <f t="shared" si="0"/>
        <v>4.9833417497372294E-2</v>
      </c>
      <c r="L60">
        <v>57</v>
      </c>
      <c r="M60" s="17">
        <v>556</v>
      </c>
      <c r="N60" s="17" t="s">
        <v>12</v>
      </c>
      <c r="O60" s="14">
        <v>8475383702</v>
      </c>
      <c r="Q60">
        <v>57</v>
      </c>
      <c r="R60" s="15">
        <v>662</v>
      </c>
      <c r="S60" s="15" t="s">
        <v>125</v>
      </c>
      <c r="T60" s="15" t="s">
        <v>141</v>
      </c>
      <c r="U60" s="12">
        <v>234751099</v>
      </c>
    </row>
    <row r="61" spans="1:21" x14ac:dyDescent="0.25">
      <c r="A61" s="2" t="s">
        <v>147</v>
      </c>
      <c r="B61">
        <v>162780902</v>
      </c>
      <c r="C61">
        <v>667</v>
      </c>
      <c r="D61">
        <v>1</v>
      </c>
      <c r="E61">
        <v>25</v>
      </c>
      <c r="F61" s="15">
        <v>638</v>
      </c>
      <c r="G61" s="11" t="s">
        <v>109</v>
      </c>
      <c r="H61" s="12">
        <v>260283254</v>
      </c>
      <c r="I61" s="12">
        <v>1</v>
      </c>
      <c r="J61" s="16">
        <f t="shared" si="0"/>
        <v>4.8325644670174257E-2</v>
      </c>
      <c r="L61">
        <v>58</v>
      </c>
      <c r="M61" s="15">
        <v>662</v>
      </c>
      <c r="N61" s="15" t="s">
        <v>133</v>
      </c>
      <c r="O61" s="12">
        <v>8103038005</v>
      </c>
      <c r="Q61">
        <v>58</v>
      </c>
      <c r="R61" s="15">
        <v>638</v>
      </c>
      <c r="S61" s="15" t="s">
        <v>106</v>
      </c>
      <c r="T61" s="15" t="s">
        <v>221</v>
      </c>
      <c r="U61" s="12">
        <v>234502275</v>
      </c>
    </row>
    <row r="62" spans="1:21" x14ac:dyDescent="0.25">
      <c r="A62" s="2" t="s">
        <v>24</v>
      </c>
      <c r="B62">
        <v>2109854388</v>
      </c>
      <c r="C62">
        <v>573</v>
      </c>
      <c r="D62">
        <v>10</v>
      </c>
      <c r="E62">
        <v>26</v>
      </c>
      <c r="F62" s="15">
        <v>638</v>
      </c>
      <c r="G62" s="11" t="s">
        <v>219</v>
      </c>
      <c r="H62" s="12">
        <v>245945122</v>
      </c>
      <c r="I62" s="12">
        <v>1</v>
      </c>
      <c r="J62" s="16">
        <f t="shared" si="0"/>
        <v>4.566354689162852E-2</v>
      </c>
      <c r="L62">
        <v>59</v>
      </c>
      <c r="M62" s="15">
        <v>603</v>
      </c>
      <c r="N62" s="15" t="s">
        <v>71</v>
      </c>
      <c r="O62" s="12">
        <v>7901758950</v>
      </c>
      <c r="Q62">
        <v>59</v>
      </c>
      <c r="R62" s="17">
        <v>556</v>
      </c>
      <c r="S62" s="17" t="s">
        <v>168</v>
      </c>
      <c r="T62" s="17" t="s">
        <v>178</v>
      </c>
      <c r="U62" s="14">
        <v>234363693</v>
      </c>
    </row>
    <row r="63" spans="1:21" x14ac:dyDescent="0.25">
      <c r="A63" s="2" t="s">
        <v>127</v>
      </c>
      <c r="B63">
        <v>228119310</v>
      </c>
      <c r="C63">
        <v>662</v>
      </c>
      <c r="D63">
        <v>1</v>
      </c>
      <c r="E63">
        <v>27</v>
      </c>
      <c r="F63" s="17">
        <v>556</v>
      </c>
      <c r="G63" s="13">
        <v>208</v>
      </c>
      <c r="H63" s="14">
        <v>238570486</v>
      </c>
      <c r="I63" s="14">
        <v>1</v>
      </c>
      <c r="J63" s="18">
        <f t="shared" si="0"/>
        <v>4.9727230811634465E-2</v>
      </c>
      <c r="L63">
        <v>60</v>
      </c>
      <c r="M63" s="15">
        <v>626</v>
      </c>
      <c r="N63" s="15" t="s">
        <v>90</v>
      </c>
      <c r="O63" s="12">
        <v>7437322352</v>
      </c>
      <c r="Q63">
        <v>60</v>
      </c>
      <c r="R63" s="15">
        <v>662</v>
      </c>
      <c r="S63" s="15" t="s">
        <v>125</v>
      </c>
      <c r="T63" s="15" t="s">
        <v>142</v>
      </c>
      <c r="U63" s="12">
        <v>234322913</v>
      </c>
    </row>
    <row r="64" spans="1:21" x14ac:dyDescent="0.25">
      <c r="A64" s="2" t="s">
        <v>129</v>
      </c>
      <c r="B64">
        <v>215654050</v>
      </c>
      <c r="C64">
        <v>662</v>
      </c>
      <c r="D64">
        <v>1</v>
      </c>
      <c r="E64">
        <v>28</v>
      </c>
      <c r="F64" s="17">
        <v>556</v>
      </c>
      <c r="G64" s="13" t="s">
        <v>5</v>
      </c>
      <c r="H64" s="14">
        <v>237069945</v>
      </c>
      <c r="I64" s="14">
        <v>1</v>
      </c>
      <c r="J64" s="18">
        <f t="shared" si="0"/>
        <v>4.9414460569596558E-2</v>
      </c>
      <c r="L64">
        <v>61</v>
      </c>
      <c r="M64" s="17">
        <v>598</v>
      </c>
      <c r="N64" s="17" t="s">
        <v>51</v>
      </c>
      <c r="O64" s="14">
        <v>7302411324</v>
      </c>
      <c r="Q64">
        <v>61</v>
      </c>
      <c r="R64" s="15">
        <v>603</v>
      </c>
      <c r="S64" s="15" t="s">
        <v>64</v>
      </c>
      <c r="T64" s="15" t="s">
        <v>79</v>
      </c>
      <c r="U64" s="12">
        <v>234235422</v>
      </c>
    </row>
    <row r="65" spans="1:21" x14ac:dyDescent="0.25">
      <c r="A65" s="2" t="s">
        <v>25</v>
      </c>
      <c r="B65">
        <v>1070997485</v>
      </c>
      <c r="C65">
        <v>573</v>
      </c>
      <c r="D65">
        <v>5</v>
      </c>
      <c r="E65">
        <v>29</v>
      </c>
      <c r="F65" s="17">
        <v>556</v>
      </c>
      <c r="G65" s="13" t="s">
        <v>168</v>
      </c>
      <c r="H65" s="14">
        <v>234363693</v>
      </c>
      <c r="I65" s="14">
        <v>1</v>
      </c>
      <c r="J65" s="18">
        <f t="shared" si="0"/>
        <v>4.885037395479859E-2</v>
      </c>
      <c r="L65">
        <v>62</v>
      </c>
      <c r="M65" s="15">
        <v>603</v>
      </c>
      <c r="N65" s="15" t="s">
        <v>72</v>
      </c>
      <c r="O65" s="12">
        <v>7138833884</v>
      </c>
      <c r="Q65">
        <v>62</v>
      </c>
      <c r="R65" s="15">
        <v>638</v>
      </c>
      <c r="S65" s="15" t="s">
        <v>105</v>
      </c>
      <c r="T65" s="15" t="s">
        <v>220</v>
      </c>
      <c r="U65" s="12">
        <v>233385927</v>
      </c>
    </row>
    <row r="66" spans="1:21" x14ac:dyDescent="0.25">
      <c r="A66" s="2" t="s">
        <v>85</v>
      </c>
      <c r="B66">
        <v>2073721050</v>
      </c>
      <c r="C66">
        <v>626</v>
      </c>
      <c r="D66">
        <v>12</v>
      </c>
      <c r="E66">
        <v>30</v>
      </c>
      <c r="F66" s="15">
        <v>662</v>
      </c>
      <c r="G66" s="11" t="s">
        <v>127</v>
      </c>
      <c r="H66" s="12">
        <v>228119310</v>
      </c>
      <c r="I66" s="12">
        <v>1</v>
      </c>
      <c r="J66" s="16">
        <f t="shared" si="0"/>
        <v>4.8026959025905244E-2</v>
      </c>
      <c r="L66">
        <v>63</v>
      </c>
      <c r="M66" s="7">
        <v>573</v>
      </c>
      <c r="N66" s="7" t="s">
        <v>31</v>
      </c>
      <c r="O66" s="6">
        <v>5363579025</v>
      </c>
      <c r="Q66">
        <v>63</v>
      </c>
      <c r="R66" s="17">
        <v>598</v>
      </c>
      <c r="S66" s="17" t="s">
        <v>44</v>
      </c>
      <c r="T66" s="17" t="s">
        <v>194</v>
      </c>
      <c r="U66" s="14">
        <v>232859288</v>
      </c>
    </row>
    <row r="67" spans="1:21" x14ac:dyDescent="0.25">
      <c r="A67" s="2" t="s">
        <v>126</v>
      </c>
      <c r="B67">
        <v>675706696</v>
      </c>
      <c r="C67">
        <v>662</v>
      </c>
      <c r="D67">
        <v>3</v>
      </c>
      <c r="E67">
        <v>31</v>
      </c>
      <c r="F67" s="17">
        <v>556</v>
      </c>
      <c r="G67" s="13" t="s">
        <v>6</v>
      </c>
      <c r="H67" s="14">
        <v>219226826</v>
      </c>
      <c r="I67" s="14">
        <v>1</v>
      </c>
      <c r="J67" s="18">
        <f t="shared" si="0"/>
        <v>4.5695270858458273E-2</v>
      </c>
      <c r="L67">
        <v>64</v>
      </c>
      <c r="M67" s="15">
        <v>603</v>
      </c>
      <c r="N67" s="15" t="s">
        <v>73</v>
      </c>
      <c r="O67" s="12">
        <v>4548477645</v>
      </c>
      <c r="Q67">
        <v>64</v>
      </c>
      <c r="R67" s="7">
        <v>573</v>
      </c>
      <c r="S67" s="7" t="s">
        <v>25</v>
      </c>
      <c r="T67" s="7" t="s">
        <v>37</v>
      </c>
      <c r="U67" s="6">
        <v>231473575</v>
      </c>
    </row>
    <row r="68" spans="1:21" x14ac:dyDescent="0.25">
      <c r="A68" s="2" t="s">
        <v>5</v>
      </c>
      <c r="B68">
        <v>237069945</v>
      </c>
      <c r="C68">
        <v>556</v>
      </c>
      <c r="D68">
        <v>1</v>
      </c>
      <c r="E68">
        <v>32</v>
      </c>
      <c r="F68" s="15">
        <v>662</v>
      </c>
      <c r="G68" s="11" t="s">
        <v>129</v>
      </c>
      <c r="H68" s="12">
        <v>215654050</v>
      </c>
      <c r="I68" s="12">
        <v>1</v>
      </c>
      <c r="J68" s="16">
        <f t="shared" si="0"/>
        <v>4.5402593156714882E-2</v>
      </c>
      <c r="L68">
        <v>65</v>
      </c>
      <c r="M68" s="17">
        <v>667</v>
      </c>
      <c r="N68" s="17" t="s">
        <v>148</v>
      </c>
      <c r="O68" s="14">
        <v>3232715542</v>
      </c>
      <c r="Q68">
        <v>65</v>
      </c>
      <c r="R68" s="7">
        <v>573</v>
      </c>
      <c r="S68" s="7" t="s">
        <v>24</v>
      </c>
      <c r="T68" s="7" t="s">
        <v>38</v>
      </c>
      <c r="U68" s="6">
        <v>230718126</v>
      </c>
    </row>
    <row r="69" spans="1:21" x14ac:dyDescent="0.25">
      <c r="A69" s="2" t="s">
        <v>6</v>
      </c>
      <c r="B69">
        <v>219226826</v>
      </c>
      <c r="C69">
        <v>556</v>
      </c>
      <c r="D69">
        <v>1</v>
      </c>
      <c r="E69">
        <v>33</v>
      </c>
      <c r="F69" s="7">
        <v>573</v>
      </c>
      <c r="G69" s="5" t="s">
        <v>29</v>
      </c>
      <c r="H69" s="6">
        <v>205819991</v>
      </c>
      <c r="I69" s="6">
        <v>1</v>
      </c>
      <c r="J69" s="10">
        <f t="shared" si="0"/>
        <v>4.751006792386734E-2</v>
      </c>
      <c r="L69">
        <v>66</v>
      </c>
      <c r="M69" s="17">
        <v>598</v>
      </c>
      <c r="N69" s="17" t="s">
        <v>52</v>
      </c>
      <c r="O69" s="14">
        <v>2983493887</v>
      </c>
      <c r="Q69">
        <v>66</v>
      </c>
      <c r="R69" s="15">
        <v>662</v>
      </c>
      <c r="S69" s="15" t="s">
        <v>125</v>
      </c>
      <c r="T69" s="15" t="s">
        <v>143</v>
      </c>
      <c r="U69" s="12">
        <v>229575375</v>
      </c>
    </row>
    <row r="70" spans="1:21" x14ac:dyDescent="0.25">
      <c r="A70" s="2" t="s">
        <v>46</v>
      </c>
      <c r="B70">
        <v>336203880</v>
      </c>
      <c r="C70">
        <v>598</v>
      </c>
      <c r="D70">
        <v>1</v>
      </c>
      <c r="E70">
        <v>34</v>
      </c>
      <c r="F70" s="15">
        <v>626</v>
      </c>
      <c r="G70" s="11" t="s">
        <v>86</v>
      </c>
      <c r="H70" s="12">
        <v>176906796</v>
      </c>
      <c r="I70" s="12">
        <v>1</v>
      </c>
      <c r="J70" s="16">
        <f t="shared" si="0"/>
        <v>5.1249872462537545E-2</v>
      </c>
      <c r="L70">
        <v>67</v>
      </c>
      <c r="M70" s="15">
        <v>626</v>
      </c>
      <c r="N70" s="15" t="s">
        <v>91</v>
      </c>
      <c r="O70" s="12">
        <v>2752782962</v>
      </c>
      <c r="Q70">
        <v>67</v>
      </c>
      <c r="R70" s="17">
        <v>598</v>
      </c>
      <c r="S70" s="17" t="s">
        <v>44</v>
      </c>
      <c r="T70" s="17" t="s">
        <v>193</v>
      </c>
      <c r="U70" s="14">
        <v>228319937</v>
      </c>
    </row>
    <row r="71" spans="1:21" x14ac:dyDescent="0.25">
      <c r="A71" s="2" t="s">
        <v>89</v>
      </c>
      <c r="B71">
        <v>331199940</v>
      </c>
      <c r="C71">
        <v>626</v>
      </c>
      <c r="D71">
        <v>2</v>
      </c>
      <c r="E71">
        <v>35</v>
      </c>
      <c r="F71" s="17">
        <v>667</v>
      </c>
      <c r="G71" s="13" t="s">
        <v>147</v>
      </c>
      <c r="H71" s="14">
        <v>162780902</v>
      </c>
      <c r="I71" s="14">
        <v>1</v>
      </c>
      <c r="J71" s="18">
        <f t="shared" si="0"/>
        <v>4.680680534455936E-2</v>
      </c>
      <c r="L71">
        <v>68</v>
      </c>
      <c r="M71" s="17">
        <v>598</v>
      </c>
      <c r="N71" s="17" t="s">
        <v>53</v>
      </c>
      <c r="O71" s="14">
        <v>2566511980</v>
      </c>
      <c r="Q71">
        <v>68</v>
      </c>
      <c r="R71" s="17">
        <v>598</v>
      </c>
      <c r="S71" s="17" t="s">
        <v>45</v>
      </c>
      <c r="T71" s="17" t="s">
        <v>192</v>
      </c>
      <c r="U71" s="14">
        <v>228314129</v>
      </c>
    </row>
    <row r="72" spans="1:21" x14ac:dyDescent="0.25">
      <c r="A72" s="2" t="s">
        <v>4</v>
      </c>
      <c r="B72">
        <v>658609507</v>
      </c>
      <c r="C72">
        <v>556</v>
      </c>
      <c r="D72">
        <v>3</v>
      </c>
      <c r="E72">
        <v>36</v>
      </c>
      <c r="F72" s="17">
        <v>667</v>
      </c>
      <c r="G72" s="13" t="s">
        <v>146</v>
      </c>
      <c r="H72" s="14">
        <v>161964392</v>
      </c>
      <c r="I72" s="14">
        <v>1</v>
      </c>
      <c r="J72" s="18">
        <f t="shared" si="0"/>
        <v>4.6572022122680627E-2</v>
      </c>
      <c r="L72">
        <v>69</v>
      </c>
      <c r="M72" s="15">
        <v>662</v>
      </c>
      <c r="N72" s="15" t="s">
        <v>134</v>
      </c>
      <c r="O72" s="12">
        <v>2482555401</v>
      </c>
      <c r="Q72">
        <v>69</v>
      </c>
      <c r="R72" s="15">
        <v>662</v>
      </c>
      <c r="S72" s="15" t="s">
        <v>127</v>
      </c>
      <c r="T72" s="15" t="s">
        <v>144</v>
      </c>
      <c r="U72" s="12">
        <v>228119310</v>
      </c>
    </row>
    <row r="73" spans="1:21" x14ac:dyDescent="0.25">
      <c r="A73" s="2" t="s">
        <v>250</v>
      </c>
      <c r="B73">
        <v>486145654</v>
      </c>
      <c r="C73">
        <v>626</v>
      </c>
      <c r="D73">
        <v>2</v>
      </c>
      <c r="G73" s="2"/>
      <c r="J73" s="9"/>
      <c r="L73">
        <v>70</v>
      </c>
      <c r="M73" s="15">
        <v>626</v>
      </c>
      <c r="N73" s="15" t="s">
        <v>92</v>
      </c>
      <c r="O73" s="12">
        <v>2300140275</v>
      </c>
      <c r="Q73">
        <v>70</v>
      </c>
      <c r="R73" s="15">
        <v>662</v>
      </c>
      <c r="S73" s="15" t="s">
        <v>126</v>
      </c>
      <c r="T73" s="15" t="s">
        <v>239</v>
      </c>
      <c r="U73" s="12">
        <v>227462468</v>
      </c>
    </row>
    <row r="74" spans="1:21" x14ac:dyDescent="0.25">
      <c r="A74" s="2" t="s">
        <v>165</v>
      </c>
      <c r="B74">
        <v>35842762078</v>
      </c>
      <c r="C74">
        <v>667</v>
      </c>
      <c r="D74">
        <v>160</v>
      </c>
      <c r="J74" s="9"/>
      <c r="L74">
        <v>71</v>
      </c>
      <c r="M74" s="15">
        <v>626</v>
      </c>
      <c r="N74" s="15" t="s">
        <v>93</v>
      </c>
      <c r="O74" s="12">
        <v>2157023733</v>
      </c>
      <c r="Q74">
        <v>71</v>
      </c>
      <c r="R74" s="15">
        <v>662</v>
      </c>
      <c r="S74" s="15" t="s">
        <v>125</v>
      </c>
      <c r="T74" s="15" t="s">
        <v>238</v>
      </c>
      <c r="U74" s="12">
        <v>227072291</v>
      </c>
    </row>
    <row r="75" spans="1:21" x14ac:dyDescent="0.25">
      <c r="L75">
        <v>72</v>
      </c>
      <c r="M75" s="7">
        <v>573</v>
      </c>
      <c r="N75" s="7" t="s">
        <v>32</v>
      </c>
      <c r="O75" s="6">
        <v>1982873971</v>
      </c>
      <c r="Q75">
        <v>72</v>
      </c>
      <c r="R75" s="15">
        <v>603</v>
      </c>
      <c r="S75" s="15" t="s">
        <v>80</v>
      </c>
      <c r="T75" s="15" t="s">
        <v>81</v>
      </c>
      <c r="U75" s="12">
        <v>226525138</v>
      </c>
    </row>
    <row r="76" spans="1:21" x14ac:dyDescent="0.25">
      <c r="L76">
        <v>73</v>
      </c>
      <c r="M76" s="15">
        <v>626</v>
      </c>
      <c r="N76" s="15" t="s">
        <v>94</v>
      </c>
      <c r="O76" s="12">
        <v>1826269675</v>
      </c>
      <c r="Q76">
        <v>73</v>
      </c>
      <c r="R76" s="17">
        <v>598</v>
      </c>
      <c r="S76" s="17" t="s">
        <v>45</v>
      </c>
      <c r="T76" s="17" t="s">
        <v>191</v>
      </c>
      <c r="U76" s="14">
        <v>226339994</v>
      </c>
    </row>
    <row r="77" spans="1:21" x14ac:dyDescent="0.25">
      <c r="L77">
        <v>74</v>
      </c>
      <c r="M77" s="17">
        <v>667</v>
      </c>
      <c r="N77" s="17" t="s">
        <v>149</v>
      </c>
      <c r="O77" s="14">
        <v>1389053163</v>
      </c>
      <c r="Q77">
        <v>74</v>
      </c>
      <c r="R77" s="17">
        <v>598</v>
      </c>
      <c r="S77" s="17" t="s">
        <v>45</v>
      </c>
      <c r="T77" s="17" t="s">
        <v>190</v>
      </c>
      <c r="U77" s="14">
        <v>225642564</v>
      </c>
    </row>
    <row r="78" spans="1:21" x14ac:dyDescent="0.25">
      <c r="L78">
        <v>75</v>
      </c>
      <c r="M78" s="7">
        <v>573</v>
      </c>
      <c r="N78" s="7" t="s">
        <v>33</v>
      </c>
      <c r="O78" s="6">
        <v>1146507151</v>
      </c>
      <c r="Q78">
        <v>75</v>
      </c>
      <c r="R78" s="17">
        <v>556</v>
      </c>
      <c r="S78" s="17" t="s">
        <v>3</v>
      </c>
      <c r="T78" s="17" t="s">
        <v>177</v>
      </c>
      <c r="U78" s="14">
        <v>225252882</v>
      </c>
    </row>
    <row r="79" spans="1:21" x14ac:dyDescent="0.25">
      <c r="L79">
        <v>76</v>
      </c>
      <c r="M79" s="17">
        <v>667</v>
      </c>
      <c r="N79" s="17" t="s">
        <v>150</v>
      </c>
      <c r="O79" s="14">
        <v>1104636213</v>
      </c>
      <c r="Q79">
        <v>76</v>
      </c>
      <c r="R79" s="7">
        <v>573</v>
      </c>
      <c r="S79" s="7" t="s">
        <v>24</v>
      </c>
      <c r="T79" s="7" t="s">
        <v>39</v>
      </c>
      <c r="U79" s="6">
        <v>223962505</v>
      </c>
    </row>
    <row r="80" spans="1:21" x14ac:dyDescent="0.25">
      <c r="L80">
        <v>77</v>
      </c>
      <c r="M80" s="17">
        <v>667</v>
      </c>
      <c r="N80" s="17" t="s">
        <v>151</v>
      </c>
      <c r="O80" s="14">
        <v>979462870</v>
      </c>
      <c r="Q80">
        <v>77</v>
      </c>
      <c r="R80" s="17">
        <v>556</v>
      </c>
      <c r="S80" s="17" t="s">
        <v>4</v>
      </c>
      <c r="T80" s="17" t="s">
        <v>176</v>
      </c>
      <c r="U80" s="14">
        <v>222785743</v>
      </c>
    </row>
    <row r="81" spans="1:21" x14ac:dyDescent="0.25">
      <c r="L81">
        <v>78</v>
      </c>
      <c r="M81" s="17">
        <v>667</v>
      </c>
      <c r="N81" s="17" t="s">
        <v>152</v>
      </c>
      <c r="O81" s="14">
        <v>883014091</v>
      </c>
      <c r="Q81">
        <v>78</v>
      </c>
      <c r="R81" s="15">
        <v>603</v>
      </c>
      <c r="S81" s="15" t="s">
        <v>65</v>
      </c>
      <c r="T81" s="15" t="s">
        <v>82</v>
      </c>
      <c r="U81" s="12">
        <v>221839385</v>
      </c>
    </row>
    <row r="82" spans="1:21" x14ac:dyDescent="0.25">
      <c r="A82" s="2"/>
      <c r="L82">
        <v>79</v>
      </c>
      <c r="M82" s="17">
        <v>667</v>
      </c>
      <c r="N82" s="17" t="s">
        <v>153</v>
      </c>
      <c r="O82" s="14">
        <v>729552155</v>
      </c>
      <c r="Q82">
        <v>79</v>
      </c>
      <c r="R82" s="17">
        <v>598</v>
      </c>
      <c r="S82" s="17" t="s">
        <v>45</v>
      </c>
      <c r="T82" s="17" t="s">
        <v>189</v>
      </c>
      <c r="U82" s="14">
        <v>221365149</v>
      </c>
    </row>
    <row r="83" spans="1:21" x14ac:dyDescent="0.25">
      <c r="A83" s="2"/>
      <c r="L83">
        <v>80</v>
      </c>
      <c r="M83" s="17">
        <v>667</v>
      </c>
      <c r="N83" s="13">
        <v>132</v>
      </c>
      <c r="O83" s="14">
        <v>483512162</v>
      </c>
      <c r="Q83">
        <v>80</v>
      </c>
      <c r="R83" s="15">
        <v>603</v>
      </c>
      <c r="S83" s="15" t="s">
        <v>64</v>
      </c>
      <c r="T83" s="15" t="s">
        <v>83</v>
      </c>
      <c r="U83" s="12">
        <v>221091136</v>
      </c>
    </row>
    <row r="84" spans="1:21" x14ac:dyDescent="0.25">
      <c r="A84" s="2"/>
      <c r="Q84">
        <v>81</v>
      </c>
      <c r="R84" s="17">
        <v>556</v>
      </c>
      <c r="S84" s="17" t="s">
        <v>4</v>
      </c>
      <c r="T84" s="17" t="s">
        <v>175</v>
      </c>
      <c r="U84" s="14">
        <v>220579011</v>
      </c>
    </row>
    <row r="85" spans="1:21" x14ac:dyDescent="0.25">
      <c r="A85" s="2"/>
      <c r="Q85">
        <v>82</v>
      </c>
      <c r="R85" s="17">
        <v>556</v>
      </c>
      <c r="S85" s="17" t="s">
        <v>3</v>
      </c>
      <c r="T85" s="17" t="s">
        <v>174</v>
      </c>
      <c r="U85" s="14">
        <v>220569021</v>
      </c>
    </row>
    <row r="86" spans="1:21" x14ac:dyDescent="0.25">
      <c r="A86" s="2"/>
      <c r="Q86">
        <v>83</v>
      </c>
      <c r="R86" s="7">
        <v>573</v>
      </c>
      <c r="S86" s="7" t="s">
        <v>25</v>
      </c>
      <c r="T86" s="7" t="s">
        <v>40</v>
      </c>
      <c r="U86" s="6">
        <v>219781029</v>
      </c>
    </row>
    <row r="87" spans="1:21" x14ac:dyDescent="0.25">
      <c r="A87" s="2"/>
      <c r="Q87">
        <v>84</v>
      </c>
      <c r="R87" s="15">
        <v>603</v>
      </c>
      <c r="S87" s="15" t="s">
        <v>64</v>
      </c>
      <c r="T87" s="15" t="s">
        <v>84</v>
      </c>
      <c r="U87" s="12">
        <v>219630862</v>
      </c>
    </row>
    <row r="88" spans="1:21" x14ac:dyDescent="0.25">
      <c r="A88" s="2"/>
      <c r="Q88">
        <v>85</v>
      </c>
      <c r="R88" s="17">
        <v>556</v>
      </c>
      <c r="S88" s="17" t="s">
        <v>6</v>
      </c>
      <c r="T88" s="17" t="s">
        <v>173</v>
      </c>
      <c r="U88" s="14">
        <v>219226826</v>
      </c>
    </row>
    <row r="89" spans="1:21" x14ac:dyDescent="0.25">
      <c r="A89" s="2"/>
      <c r="Q89">
        <v>86</v>
      </c>
      <c r="R89" s="17">
        <v>556</v>
      </c>
      <c r="S89" s="17" t="s">
        <v>3</v>
      </c>
      <c r="T89" s="17" t="s">
        <v>172</v>
      </c>
      <c r="U89" s="14">
        <v>218115038</v>
      </c>
    </row>
    <row r="90" spans="1:21" x14ac:dyDescent="0.25">
      <c r="A90" s="2"/>
      <c r="Q90">
        <v>87</v>
      </c>
      <c r="R90" s="17">
        <v>556</v>
      </c>
      <c r="S90" s="17" t="s">
        <v>3</v>
      </c>
      <c r="T90" s="17" t="s">
        <v>171</v>
      </c>
      <c r="U90" s="14">
        <v>217790244</v>
      </c>
    </row>
    <row r="91" spans="1:21" x14ac:dyDescent="0.25">
      <c r="A91" s="2"/>
      <c r="Q91">
        <v>88</v>
      </c>
      <c r="R91" s="7">
        <v>573</v>
      </c>
      <c r="S91" s="7" t="s">
        <v>26</v>
      </c>
      <c r="T91" s="7" t="s">
        <v>41</v>
      </c>
      <c r="U91" s="6">
        <v>217642219</v>
      </c>
    </row>
    <row r="92" spans="1:21" x14ac:dyDescent="0.25">
      <c r="A92" s="2"/>
      <c r="Q92">
        <v>89</v>
      </c>
      <c r="R92" s="15">
        <v>662</v>
      </c>
      <c r="S92" s="15" t="s">
        <v>125</v>
      </c>
      <c r="T92" s="15" t="s">
        <v>237</v>
      </c>
      <c r="U92" s="12">
        <v>217636116</v>
      </c>
    </row>
    <row r="93" spans="1:21" x14ac:dyDescent="0.25">
      <c r="A93" s="2"/>
      <c r="Q93">
        <v>90</v>
      </c>
      <c r="R93" s="17">
        <v>556</v>
      </c>
      <c r="S93" s="17" t="s">
        <v>3</v>
      </c>
      <c r="T93" s="17" t="s">
        <v>170</v>
      </c>
      <c r="U93" s="14">
        <v>216674508</v>
      </c>
    </row>
    <row r="94" spans="1:21" x14ac:dyDescent="0.25">
      <c r="A94" s="2"/>
      <c r="Q94">
        <v>91</v>
      </c>
      <c r="R94" s="15">
        <v>662</v>
      </c>
      <c r="S94" s="15" t="s">
        <v>125</v>
      </c>
      <c r="T94" s="15" t="s">
        <v>236</v>
      </c>
      <c r="U94" s="12">
        <v>216604177</v>
      </c>
    </row>
    <row r="95" spans="1:21" x14ac:dyDescent="0.25">
      <c r="A95" s="2"/>
      <c r="Q95">
        <v>92</v>
      </c>
      <c r="R95" s="15">
        <v>662</v>
      </c>
      <c r="S95" s="15" t="s">
        <v>129</v>
      </c>
      <c r="T95" s="15" t="s">
        <v>235</v>
      </c>
      <c r="U95" s="12">
        <v>215654050</v>
      </c>
    </row>
    <row r="96" spans="1:21" x14ac:dyDescent="0.25">
      <c r="A96" s="2"/>
      <c r="Q96">
        <v>93</v>
      </c>
      <c r="R96" s="17">
        <v>556</v>
      </c>
      <c r="S96" s="17" t="s">
        <v>4</v>
      </c>
      <c r="T96" s="17" t="s">
        <v>169</v>
      </c>
      <c r="U96" s="14">
        <v>215244753</v>
      </c>
    </row>
    <row r="97" spans="1:21" x14ac:dyDescent="0.25">
      <c r="A97" s="2"/>
      <c r="Q97">
        <v>94</v>
      </c>
      <c r="R97" s="15">
        <v>662</v>
      </c>
      <c r="S97" s="15" t="s">
        <v>125</v>
      </c>
      <c r="T97" s="15" t="s">
        <v>234</v>
      </c>
      <c r="U97" s="12">
        <v>215171059</v>
      </c>
    </row>
    <row r="98" spans="1:21" x14ac:dyDescent="0.25">
      <c r="A98" s="2"/>
      <c r="Q98">
        <v>95</v>
      </c>
      <c r="R98" s="15">
        <v>662</v>
      </c>
      <c r="S98" s="15" t="s">
        <v>125</v>
      </c>
      <c r="T98" s="15" t="s">
        <v>233</v>
      </c>
      <c r="U98" s="12">
        <v>214026458</v>
      </c>
    </row>
    <row r="99" spans="1:21" x14ac:dyDescent="0.25">
      <c r="A99" s="2"/>
      <c r="Q99">
        <v>96</v>
      </c>
      <c r="R99" s="15">
        <v>662</v>
      </c>
      <c r="S99" s="15" t="s">
        <v>125</v>
      </c>
      <c r="T99" s="15" t="s">
        <v>232</v>
      </c>
      <c r="U99" s="12">
        <v>213803186</v>
      </c>
    </row>
    <row r="100" spans="1:21" x14ac:dyDescent="0.25">
      <c r="A100" s="2"/>
      <c r="Q100">
        <v>97</v>
      </c>
      <c r="R100" s="7">
        <v>573</v>
      </c>
      <c r="S100" s="7" t="s">
        <v>25</v>
      </c>
      <c r="T100" s="7" t="s">
        <v>42</v>
      </c>
      <c r="U100" s="6">
        <v>213616178</v>
      </c>
    </row>
    <row r="101" spans="1:21" x14ac:dyDescent="0.25">
      <c r="A101" s="2"/>
      <c r="Q101">
        <v>98</v>
      </c>
      <c r="R101" s="7">
        <v>573</v>
      </c>
      <c r="S101" s="7" t="s">
        <v>24</v>
      </c>
      <c r="T101" s="7" t="s">
        <v>43</v>
      </c>
      <c r="U101" s="6">
        <v>212834965</v>
      </c>
    </row>
    <row r="102" spans="1:21" x14ac:dyDescent="0.25">
      <c r="A102" s="2"/>
      <c r="Q102">
        <v>99</v>
      </c>
      <c r="R102" s="15">
        <v>603</v>
      </c>
      <c r="S102" s="15" t="s">
        <v>65</v>
      </c>
      <c r="T102" s="15" t="s">
        <v>208</v>
      </c>
      <c r="U102" s="12">
        <v>212670633</v>
      </c>
    </row>
    <row r="103" spans="1:21" x14ac:dyDescent="0.25">
      <c r="A103" s="2"/>
      <c r="Q103">
        <v>100</v>
      </c>
      <c r="R103" s="15">
        <v>662</v>
      </c>
      <c r="S103" s="15" t="s">
        <v>126</v>
      </c>
      <c r="T103" s="15" t="s">
        <v>231</v>
      </c>
      <c r="U103" s="12">
        <v>212668250</v>
      </c>
    </row>
    <row r="104" spans="1:21" x14ac:dyDescent="0.25">
      <c r="A104" s="2"/>
      <c r="Q104">
        <v>101</v>
      </c>
      <c r="R104" s="15">
        <v>603</v>
      </c>
      <c r="S104" s="15" t="s">
        <v>69</v>
      </c>
      <c r="T104" s="15" t="s">
        <v>207</v>
      </c>
      <c r="U104" s="12">
        <v>212197150</v>
      </c>
    </row>
    <row r="105" spans="1:21" x14ac:dyDescent="0.25">
      <c r="A105" s="2"/>
      <c r="Q105">
        <v>102</v>
      </c>
      <c r="R105" s="15">
        <v>662</v>
      </c>
      <c r="S105" s="15" t="s">
        <v>125</v>
      </c>
      <c r="T105" s="15" t="s">
        <v>230</v>
      </c>
      <c r="U105" s="12">
        <v>212120906</v>
      </c>
    </row>
    <row r="106" spans="1:21" x14ac:dyDescent="0.25">
      <c r="A106" s="2"/>
      <c r="Q106">
        <v>103</v>
      </c>
      <c r="R106" s="15">
        <v>626</v>
      </c>
      <c r="S106" s="15" t="s">
        <v>85</v>
      </c>
      <c r="T106" s="15" t="s">
        <v>95</v>
      </c>
      <c r="U106" s="12">
        <v>211945364</v>
      </c>
    </row>
    <row r="107" spans="1:21" x14ac:dyDescent="0.25">
      <c r="A107" s="2"/>
      <c r="Q107">
        <v>104</v>
      </c>
      <c r="R107" s="15">
        <v>603</v>
      </c>
      <c r="S107" s="15" t="s">
        <v>69</v>
      </c>
      <c r="T107" s="15" t="s">
        <v>206</v>
      </c>
      <c r="U107" s="12">
        <v>210519748</v>
      </c>
    </row>
    <row r="108" spans="1:21" x14ac:dyDescent="0.25">
      <c r="A108" s="2"/>
      <c r="Q108">
        <v>105</v>
      </c>
      <c r="R108" s="15">
        <v>603</v>
      </c>
      <c r="S108" s="15" t="s">
        <v>65</v>
      </c>
      <c r="T108" s="15" t="s">
        <v>205</v>
      </c>
      <c r="U108" s="12">
        <v>209018680</v>
      </c>
    </row>
    <row r="109" spans="1:21" x14ac:dyDescent="0.25">
      <c r="A109" s="2"/>
      <c r="Q109">
        <v>106</v>
      </c>
      <c r="R109" s="7">
        <v>573</v>
      </c>
      <c r="S109" s="7" t="s">
        <v>26</v>
      </c>
      <c r="T109" s="7" t="s">
        <v>188</v>
      </c>
      <c r="U109" s="6">
        <v>208851424</v>
      </c>
    </row>
    <row r="110" spans="1:21" x14ac:dyDescent="0.25">
      <c r="A110" s="2"/>
      <c r="Q110">
        <v>107</v>
      </c>
      <c r="R110" s="17">
        <v>667</v>
      </c>
      <c r="S110" s="17" t="s">
        <v>145</v>
      </c>
      <c r="T110" s="17" t="s">
        <v>154</v>
      </c>
      <c r="U110" s="14">
        <v>207268769</v>
      </c>
    </row>
    <row r="111" spans="1:21" x14ac:dyDescent="0.25">
      <c r="A111" s="2"/>
      <c r="Q111">
        <v>108</v>
      </c>
      <c r="R111" s="7">
        <v>573</v>
      </c>
      <c r="S111" s="7" t="s">
        <v>25</v>
      </c>
      <c r="T111" s="7" t="s">
        <v>187</v>
      </c>
      <c r="U111" s="6">
        <v>207130848</v>
      </c>
    </row>
    <row r="112" spans="1:21" x14ac:dyDescent="0.25">
      <c r="A112" s="2"/>
      <c r="Q112">
        <v>109</v>
      </c>
      <c r="R112" s="7">
        <v>573</v>
      </c>
      <c r="S112" s="7" t="s">
        <v>29</v>
      </c>
      <c r="T112" s="7" t="s">
        <v>186</v>
      </c>
      <c r="U112" s="6">
        <v>205819991</v>
      </c>
    </row>
    <row r="113" spans="1:21" x14ac:dyDescent="0.25">
      <c r="A113" s="2"/>
      <c r="Q113">
        <v>110</v>
      </c>
      <c r="R113" s="15">
        <v>603</v>
      </c>
      <c r="S113" s="15" t="s">
        <v>64</v>
      </c>
      <c r="T113" s="15" t="s">
        <v>204</v>
      </c>
      <c r="U113" s="12">
        <v>205420489</v>
      </c>
    </row>
    <row r="114" spans="1:21" x14ac:dyDescent="0.25">
      <c r="A114" s="2"/>
      <c r="Q114">
        <v>111</v>
      </c>
      <c r="R114" s="7">
        <v>573</v>
      </c>
      <c r="S114" s="7" t="s">
        <v>24</v>
      </c>
      <c r="T114" s="7" t="s">
        <v>185</v>
      </c>
      <c r="U114" s="6">
        <v>202665574</v>
      </c>
    </row>
    <row r="115" spans="1:21" x14ac:dyDescent="0.25">
      <c r="A115" s="2"/>
      <c r="Q115">
        <v>112</v>
      </c>
      <c r="R115" s="15">
        <v>603</v>
      </c>
      <c r="S115" s="15" t="s">
        <v>64</v>
      </c>
      <c r="T115" s="15" t="s">
        <v>203</v>
      </c>
      <c r="U115" s="12">
        <v>202145103</v>
      </c>
    </row>
    <row r="116" spans="1:21" x14ac:dyDescent="0.25">
      <c r="A116" s="2"/>
      <c r="Q116">
        <v>113</v>
      </c>
      <c r="R116" s="7">
        <v>573</v>
      </c>
      <c r="S116" s="7" t="s">
        <v>24</v>
      </c>
      <c r="T116" s="7" t="s">
        <v>184</v>
      </c>
      <c r="U116" s="6">
        <v>202087856</v>
      </c>
    </row>
    <row r="117" spans="1:21" x14ac:dyDescent="0.25">
      <c r="A117" s="2"/>
      <c r="Q117">
        <v>114</v>
      </c>
      <c r="R117" s="7">
        <v>573</v>
      </c>
      <c r="S117" s="7" t="s">
        <v>24</v>
      </c>
      <c r="T117" s="7" t="s">
        <v>183</v>
      </c>
      <c r="U117" s="6">
        <v>200426212</v>
      </c>
    </row>
    <row r="118" spans="1:21" x14ac:dyDescent="0.25">
      <c r="Q118">
        <v>115</v>
      </c>
      <c r="R118" s="7">
        <v>573</v>
      </c>
      <c r="S118" s="7" t="s">
        <v>24</v>
      </c>
      <c r="T118" s="7" t="s">
        <v>182</v>
      </c>
      <c r="U118" s="6">
        <v>200342020</v>
      </c>
    </row>
    <row r="119" spans="1:21" x14ac:dyDescent="0.25">
      <c r="Q119">
        <v>116</v>
      </c>
      <c r="R119" s="15">
        <v>603</v>
      </c>
      <c r="S119" s="15" t="s">
        <v>64</v>
      </c>
      <c r="T119" s="15" t="s">
        <v>202</v>
      </c>
      <c r="U119" s="12">
        <v>199317140</v>
      </c>
    </row>
    <row r="120" spans="1:21" x14ac:dyDescent="0.25">
      <c r="Q120">
        <v>117</v>
      </c>
      <c r="R120" s="7">
        <v>573</v>
      </c>
      <c r="S120" s="7" t="s">
        <v>25</v>
      </c>
      <c r="T120" s="7" t="s">
        <v>181</v>
      </c>
      <c r="U120" s="6">
        <v>198995855</v>
      </c>
    </row>
    <row r="121" spans="1:21" x14ac:dyDescent="0.25">
      <c r="Q121">
        <v>118</v>
      </c>
      <c r="R121" s="15">
        <v>603</v>
      </c>
      <c r="S121" s="15" t="s">
        <v>80</v>
      </c>
      <c r="T121" s="15" t="s">
        <v>201</v>
      </c>
      <c r="U121" s="12">
        <v>198736707</v>
      </c>
    </row>
    <row r="122" spans="1:21" x14ac:dyDescent="0.25">
      <c r="Q122">
        <v>119</v>
      </c>
      <c r="R122" s="15">
        <v>603</v>
      </c>
      <c r="S122" s="15" t="s">
        <v>80</v>
      </c>
      <c r="T122" s="15" t="s">
        <v>200</v>
      </c>
      <c r="U122" s="12">
        <v>197319714</v>
      </c>
    </row>
    <row r="123" spans="1:21" x14ac:dyDescent="0.25">
      <c r="Q123">
        <v>120</v>
      </c>
      <c r="R123" s="15">
        <v>603</v>
      </c>
      <c r="S123" s="15" t="s">
        <v>80</v>
      </c>
      <c r="T123" s="15" t="s">
        <v>199</v>
      </c>
      <c r="U123" s="12">
        <v>197280827</v>
      </c>
    </row>
    <row r="124" spans="1:21" x14ac:dyDescent="0.25">
      <c r="Q124">
        <v>121</v>
      </c>
      <c r="R124" s="7">
        <v>573</v>
      </c>
      <c r="S124" s="7" t="s">
        <v>24</v>
      </c>
      <c r="T124" s="7" t="s">
        <v>180</v>
      </c>
      <c r="U124" s="6">
        <v>196427860</v>
      </c>
    </row>
    <row r="125" spans="1:21" x14ac:dyDescent="0.25">
      <c r="Q125">
        <v>122</v>
      </c>
      <c r="R125" s="7">
        <v>573</v>
      </c>
      <c r="S125" s="7" t="s">
        <v>24</v>
      </c>
      <c r="T125" s="7" t="s">
        <v>179</v>
      </c>
      <c r="U125" s="6">
        <v>196115742</v>
      </c>
    </row>
    <row r="126" spans="1:21" x14ac:dyDescent="0.25">
      <c r="Q126">
        <v>123</v>
      </c>
      <c r="R126" s="15">
        <v>626</v>
      </c>
      <c r="S126" s="15"/>
      <c r="T126" s="15" t="s">
        <v>96</v>
      </c>
      <c r="U126" s="12">
        <v>194692634</v>
      </c>
    </row>
    <row r="127" spans="1:21" x14ac:dyDescent="0.25">
      <c r="Q127">
        <v>124</v>
      </c>
      <c r="R127" s="17">
        <v>667</v>
      </c>
      <c r="S127" s="17" t="s">
        <v>145</v>
      </c>
      <c r="T127" s="17" t="s">
        <v>155</v>
      </c>
      <c r="U127" s="14">
        <v>190104782</v>
      </c>
    </row>
    <row r="128" spans="1:21" x14ac:dyDescent="0.25">
      <c r="Q128">
        <v>125</v>
      </c>
      <c r="R128" s="17">
        <v>667</v>
      </c>
      <c r="S128" s="17" t="s">
        <v>145</v>
      </c>
      <c r="T128" s="17" t="s">
        <v>156</v>
      </c>
      <c r="U128" s="14">
        <v>187929964</v>
      </c>
    </row>
    <row r="129" spans="17:21" x14ac:dyDescent="0.25">
      <c r="Q129">
        <v>126</v>
      </c>
      <c r="R129" s="17">
        <v>667</v>
      </c>
      <c r="S129" s="17" t="s">
        <v>145</v>
      </c>
      <c r="T129" s="17" t="s">
        <v>157</v>
      </c>
      <c r="U129" s="14">
        <v>187362826</v>
      </c>
    </row>
    <row r="130" spans="17:21" x14ac:dyDescent="0.25">
      <c r="Q130">
        <v>127</v>
      </c>
      <c r="R130" s="17">
        <v>667</v>
      </c>
      <c r="S130" s="17" t="s">
        <v>145</v>
      </c>
      <c r="T130" s="17" t="s">
        <v>158</v>
      </c>
      <c r="U130" s="14">
        <v>181376848</v>
      </c>
    </row>
    <row r="131" spans="17:21" x14ac:dyDescent="0.25">
      <c r="Q131">
        <v>128</v>
      </c>
      <c r="R131" s="15">
        <v>626</v>
      </c>
      <c r="S131" s="15" t="s">
        <v>85</v>
      </c>
      <c r="T131" s="15" t="s">
        <v>97</v>
      </c>
      <c r="U131" s="12">
        <v>179620452</v>
      </c>
    </row>
    <row r="132" spans="17:21" x14ac:dyDescent="0.25">
      <c r="Q132">
        <v>129</v>
      </c>
      <c r="R132" s="15">
        <v>626</v>
      </c>
      <c r="S132" s="15" t="s">
        <v>85</v>
      </c>
      <c r="T132" s="15" t="s">
        <v>98</v>
      </c>
      <c r="U132" s="12">
        <v>177137057</v>
      </c>
    </row>
    <row r="133" spans="17:21" x14ac:dyDescent="0.25">
      <c r="Q133">
        <v>130</v>
      </c>
      <c r="R133" s="15">
        <v>626</v>
      </c>
      <c r="S133" s="15" t="s">
        <v>86</v>
      </c>
      <c r="T133" s="15" t="s">
        <v>99</v>
      </c>
      <c r="U133" s="12">
        <v>176906796</v>
      </c>
    </row>
    <row r="134" spans="17:21" x14ac:dyDescent="0.25">
      <c r="Q134">
        <v>131</v>
      </c>
      <c r="R134" s="17">
        <v>667</v>
      </c>
      <c r="S134" s="17" t="s">
        <v>145</v>
      </c>
      <c r="T134" s="17" t="s">
        <v>159</v>
      </c>
      <c r="U134" s="14">
        <v>176816773</v>
      </c>
    </row>
    <row r="135" spans="17:21" x14ac:dyDescent="0.25">
      <c r="Q135">
        <v>132</v>
      </c>
      <c r="R135" s="17">
        <v>667</v>
      </c>
      <c r="S135" s="17" t="s">
        <v>145</v>
      </c>
      <c r="T135" s="17" t="s">
        <v>160</v>
      </c>
      <c r="U135" s="14">
        <v>175188387</v>
      </c>
    </row>
    <row r="136" spans="17:21" x14ac:dyDescent="0.25">
      <c r="Q136">
        <v>133</v>
      </c>
      <c r="R136" s="17">
        <v>667</v>
      </c>
      <c r="S136" s="17" t="s">
        <v>145</v>
      </c>
      <c r="T136" s="17" t="s">
        <v>161</v>
      </c>
      <c r="U136" s="14">
        <v>174652476</v>
      </c>
    </row>
    <row r="137" spans="17:21" x14ac:dyDescent="0.25">
      <c r="Q137">
        <v>134</v>
      </c>
      <c r="R137" s="17">
        <v>667</v>
      </c>
      <c r="S137" s="17" t="s">
        <v>145</v>
      </c>
      <c r="T137" s="17" t="s">
        <v>162</v>
      </c>
      <c r="U137" s="14">
        <v>174338569</v>
      </c>
    </row>
    <row r="138" spans="17:21" x14ac:dyDescent="0.25">
      <c r="Q138">
        <v>135</v>
      </c>
      <c r="R138" s="15">
        <v>626</v>
      </c>
      <c r="S138" s="15" t="s">
        <v>85</v>
      </c>
      <c r="T138" s="15" t="s">
        <v>100</v>
      </c>
      <c r="U138" s="12">
        <v>174256146</v>
      </c>
    </row>
    <row r="139" spans="17:21" x14ac:dyDescent="0.25">
      <c r="Q139">
        <v>136</v>
      </c>
      <c r="R139" s="15">
        <v>626</v>
      </c>
      <c r="S139" s="15" t="s">
        <v>85</v>
      </c>
      <c r="T139" s="15" t="s">
        <v>101</v>
      </c>
      <c r="U139" s="12">
        <v>173901786</v>
      </c>
    </row>
    <row r="140" spans="17:21" x14ac:dyDescent="0.25">
      <c r="Q140">
        <v>137</v>
      </c>
      <c r="R140" s="17">
        <v>667</v>
      </c>
      <c r="S140" s="17" t="s">
        <v>145</v>
      </c>
      <c r="T140" s="17" t="s">
        <v>163</v>
      </c>
      <c r="U140" s="14">
        <v>173657902</v>
      </c>
    </row>
    <row r="141" spans="17:21" x14ac:dyDescent="0.25">
      <c r="Q141">
        <v>138</v>
      </c>
      <c r="R141" s="15">
        <v>626</v>
      </c>
      <c r="S141" s="15" t="s">
        <v>90</v>
      </c>
      <c r="T141" s="15" t="s">
        <v>102</v>
      </c>
      <c r="U141" s="12">
        <v>172435934</v>
      </c>
    </row>
    <row r="142" spans="17:21" x14ac:dyDescent="0.25">
      <c r="Q142">
        <v>139</v>
      </c>
      <c r="R142" s="17">
        <v>667</v>
      </c>
      <c r="S142" s="17" t="s">
        <v>145</v>
      </c>
      <c r="T142" s="17" t="s">
        <v>249</v>
      </c>
      <c r="U142" s="14">
        <v>171663149</v>
      </c>
    </row>
    <row r="143" spans="17:21" x14ac:dyDescent="0.25">
      <c r="Q143">
        <v>140</v>
      </c>
      <c r="R143" s="15">
        <v>626</v>
      </c>
      <c r="S143" s="15" t="s">
        <v>85</v>
      </c>
      <c r="T143" s="15" t="s">
        <v>103</v>
      </c>
      <c r="U143" s="12">
        <v>170421976</v>
      </c>
    </row>
    <row r="144" spans="17:21" x14ac:dyDescent="0.25">
      <c r="Q144">
        <v>141</v>
      </c>
      <c r="R144" s="15">
        <v>626</v>
      </c>
      <c r="S144" s="15" t="s">
        <v>87</v>
      </c>
      <c r="T144" s="15" t="s">
        <v>218</v>
      </c>
      <c r="U144" s="12">
        <v>169545596</v>
      </c>
    </row>
    <row r="145" spans="17:21" x14ac:dyDescent="0.25">
      <c r="Q145">
        <v>142</v>
      </c>
      <c r="R145" s="17">
        <v>667</v>
      </c>
      <c r="S145" s="17" t="s">
        <v>145</v>
      </c>
      <c r="T145" s="17" t="s">
        <v>248</v>
      </c>
      <c r="U145" s="14">
        <v>169262202</v>
      </c>
    </row>
    <row r="146" spans="17:21" x14ac:dyDescent="0.25">
      <c r="Q146">
        <v>143</v>
      </c>
      <c r="R146" s="15">
        <v>626</v>
      </c>
      <c r="S146" s="15" t="s">
        <v>89</v>
      </c>
      <c r="T146" s="15" t="s">
        <v>217</v>
      </c>
      <c r="U146" s="12">
        <v>168265433</v>
      </c>
    </row>
    <row r="147" spans="17:21" x14ac:dyDescent="0.25">
      <c r="Q147">
        <v>144</v>
      </c>
      <c r="R147" s="15">
        <v>626</v>
      </c>
      <c r="S147" s="15" t="s">
        <v>87</v>
      </c>
      <c r="T147" s="15" t="s">
        <v>104</v>
      </c>
      <c r="U147" s="12">
        <v>167027144</v>
      </c>
    </row>
    <row r="148" spans="17:21" x14ac:dyDescent="0.25">
      <c r="Q148">
        <v>145</v>
      </c>
      <c r="R148" s="15">
        <v>626</v>
      </c>
      <c r="S148" s="15" t="s">
        <v>85</v>
      </c>
      <c r="T148" s="15" t="s">
        <v>216</v>
      </c>
      <c r="U148" s="12">
        <v>166774647</v>
      </c>
    </row>
    <row r="149" spans="17:21" x14ac:dyDescent="0.25">
      <c r="Q149">
        <v>146</v>
      </c>
      <c r="R149" s="15">
        <v>626</v>
      </c>
      <c r="S149" s="15" t="s">
        <v>85</v>
      </c>
      <c r="T149" s="15" t="s">
        <v>215</v>
      </c>
      <c r="U149" s="12">
        <v>166650171</v>
      </c>
    </row>
    <row r="150" spans="17:21" x14ac:dyDescent="0.25">
      <c r="Q150">
        <v>147</v>
      </c>
      <c r="R150" s="15">
        <v>626</v>
      </c>
      <c r="S150" s="15" t="s">
        <v>90</v>
      </c>
      <c r="T150" s="15" t="s">
        <v>214</v>
      </c>
      <c r="U150" s="12">
        <v>166319418</v>
      </c>
    </row>
    <row r="151" spans="17:21" x14ac:dyDescent="0.25">
      <c r="Q151">
        <v>148</v>
      </c>
      <c r="R151" s="15">
        <v>626</v>
      </c>
      <c r="S151" s="15" t="s">
        <v>85</v>
      </c>
      <c r="T151" s="15" t="s">
        <v>213</v>
      </c>
      <c r="U151" s="12">
        <v>166170515</v>
      </c>
    </row>
    <row r="152" spans="17:21" x14ac:dyDescent="0.25">
      <c r="Q152">
        <v>149</v>
      </c>
      <c r="R152" s="17">
        <v>667</v>
      </c>
      <c r="S152" s="17" t="s">
        <v>145</v>
      </c>
      <c r="T152" s="17" t="s">
        <v>247</v>
      </c>
      <c r="U152" s="14">
        <v>165458912</v>
      </c>
    </row>
    <row r="153" spans="17:21" x14ac:dyDescent="0.25">
      <c r="Q153">
        <v>150</v>
      </c>
      <c r="R153" s="17">
        <v>667</v>
      </c>
      <c r="S153" s="17" t="s">
        <v>145</v>
      </c>
      <c r="T153" s="17" t="s">
        <v>246</v>
      </c>
      <c r="U153" s="14">
        <v>165347053</v>
      </c>
    </row>
    <row r="154" spans="17:21" x14ac:dyDescent="0.25">
      <c r="Q154">
        <v>151</v>
      </c>
      <c r="R154" s="17">
        <v>667</v>
      </c>
      <c r="S154" s="17" t="s">
        <v>145</v>
      </c>
      <c r="T154" s="17" t="s">
        <v>245</v>
      </c>
      <c r="U154" s="14">
        <v>164867696</v>
      </c>
    </row>
    <row r="155" spans="17:21" x14ac:dyDescent="0.25">
      <c r="Q155">
        <v>152</v>
      </c>
      <c r="R155" s="15">
        <v>626</v>
      </c>
      <c r="S155" s="15" t="s">
        <v>85</v>
      </c>
      <c r="T155" s="15" t="s">
        <v>212</v>
      </c>
      <c r="U155" s="12">
        <v>164384699</v>
      </c>
    </row>
    <row r="156" spans="17:21" x14ac:dyDescent="0.25">
      <c r="Q156">
        <v>153</v>
      </c>
      <c r="R156" s="15">
        <v>626</v>
      </c>
      <c r="S156" s="15" t="s">
        <v>89</v>
      </c>
      <c r="T156" s="15" t="s">
        <v>211</v>
      </c>
      <c r="U156" s="12">
        <v>162934507</v>
      </c>
    </row>
    <row r="157" spans="17:21" x14ac:dyDescent="0.25">
      <c r="Q157">
        <v>154</v>
      </c>
      <c r="R157" s="17">
        <v>667</v>
      </c>
      <c r="S157" s="17" t="s">
        <v>145</v>
      </c>
      <c r="T157" s="17" t="s">
        <v>244</v>
      </c>
      <c r="U157" s="14">
        <v>162914811</v>
      </c>
    </row>
    <row r="158" spans="17:21" x14ac:dyDescent="0.25">
      <c r="Q158">
        <v>155</v>
      </c>
      <c r="R158" s="17">
        <v>667</v>
      </c>
      <c r="S158" s="17" t="s">
        <v>147</v>
      </c>
      <c r="T158" s="17" t="s">
        <v>243</v>
      </c>
      <c r="U158" s="14">
        <v>162780902</v>
      </c>
    </row>
    <row r="159" spans="17:21" x14ac:dyDescent="0.25">
      <c r="Q159">
        <v>156</v>
      </c>
      <c r="R159" s="17">
        <v>667</v>
      </c>
      <c r="S159" s="17" t="s">
        <v>145</v>
      </c>
      <c r="T159" s="17" t="s">
        <v>242</v>
      </c>
      <c r="U159" s="14">
        <v>162397595</v>
      </c>
    </row>
    <row r="160" spans="17:21" x14ac:dyDescent="0.25">
      <c r="Q160">
        <v>157</v>
      </c>
      <c r="R160" s="17">
        <v>667</v>
      </c>
      <c r="S160" s="17" t="s">
        <v>145</v>
      </c>
      <c r="T160" s="17" t="s">
        <v>241</v>
      </c>
      <c r="U160" s="14">
        <v>162364687</v>
      </c>
    </row>
    <row r="161" spans="17:21" x14ac:dyDescent="0.25">
      <c r="Q161">
        <v>158</v>
      </c>
      <c r="R161" s="17">
        <v>667</v>
      </c>
      <c r="S161" s="17" t="s">
        <v>146</v>
      </c>
      <c r="T161" s="17" t="s">
        <v>240</v>
      </c>
      <c r="U161" s="14">
        <v>161964392</v>
      </c>
    </row>
    <row r="162" spans="17:21" x14ac:dyDescent="0.25">
      <c r="Q162">
        <v>159</v>
      </c>
      <c r="R162" s="15">
        <v>626</v>
      </c>
      <c r="S162" s="15" t="s">
        <v>85</v>
      </c>
      <c r="T162" s="15" t="s">
        <v>210</v>
      </c>
      <c r="U162" s="12">
        <v>161539132</v>
      </c>
    </row>
    <row r="163" spans="17:21" x14ac:dyDescent="0.25">
      <c r="Q163">
        <v>160</v>
      </c>
      <c r="R163" s="15">
        <v>626</v>
      </c>
      <c r="S163" s="15" t="s">
        <v>85</v>
      </c>
      <c r="T163" s="15" t="s">
        <v>209</v>
      </c>
      <c r="U163" s="12">
        <v>160919105</v>
      </c>
    </row>
  </sheetData>
  <autoFilter ref="Q3:U163" xr:uid="{67B8DC0B-FD02-4D05-8DEE-79E3EB95302C}"/>
  <mergeCells count="1">
    <mergeCell ref="E35:J3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DF2A-2A3E-4146-ACD2-1F9A81711434}">
  <dimension ref="A1:C81"/>
  <sheetViews>
    <sheetView topLeftCell="A40" workbookViewId="0">
      <selection activeCell="L72" sqref="L72"/>
    </sheetView>
  </sheetViews>
  <sheetFormatPr baseColWidth="10" defaultRowHeight="15" x14ac:dyDescent="0.25"/>
  <cols>
    <col min="3" max="3" width="15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556</v>
      </c>
      <c r="B2" t="s">
        <v>3</v>
      </c>
      <c r="C2" s="1">
        <v>26931004010</v>
      </c>
    </row>
    <row r="3" spans="1:3" x14ac:dyDescent="0.25">
      <c r="A3">
        <v>556</v>
      </c>
      <c r="B3" t="s">
        <v>4</v>
      </c>
      <c r="C3" s="1">
        <v>23434895920</v>
      </c>
    </row>
    <row r="4" spans="1:3" x14ac:dyDescent="0.25">
      <c r="A4">
        <v>556</v>
      </c>
      <c r="B4" t="s">
        <v>5</v>
      </c>
      <c r="C4" s="1">
        <v>21925902365</v>
      </c>
    </row>
    <row r="5" spans="1:3" x14ac:dyDescent="0.25">
      <c r="A5">
        <v>556</v>
      </c>
      <c r="B5" t="s">
        <v>6</v>
      </c>
      <c r="C5" s="1">
        <v>18643902656</v>
      </c>
    </row>
    <row r="6" spans="1:3" x14ac:dyDescent="0.25">
      <c r="A6">
        <v>556</v>
      </c>
      <c r="B6" t="s">
        <v>7</v>
      </c>
      <c r="C6" s="1">
        <v>17673058629</v>
      </c>
    </row>
    <row r="7" spans="1:3" x14ac:dyDescent="0.25">
      <c r="A7">
        <v>556</v>
      </c>
      <c r="B7" t="s">
        <v>8</v>
      </c>
      <c r="C7" s="1">
        <v>11285174330</v>
      </c>
    </row>
    <row r="8" spans="1:3" x14ac:dyDescent="0.25">
      <c r="A8">
        <v>556</v>
      </c>
      <c r="B8" t="s">
        <v>9</v>
      </c>
      <c r="C8" s="1">
        <v>10750491097</v>
      </c>
    </row>
    <row r="9" spans="1:3" x14ac:dyDescent="0.25">
      <c r="A9">
        <v>556</v>
      </c>
      <c r="B9" t="s">
        <v>10</v>
      </c>
      <c r="C9" s="1">
        <v>9572266855</v>
      </c>
    </row>
    <row r="10" spans="1:3" x14ac:dyDescent="0.25">
      <c r="A10">
        <v>556</v>
      </c>
      <c r="B10" t="s">
        <v>11</v>
      </c>
      <c r="C10" s="1">
        <v>9566586327</v>
      </c>
    </row>
    <row r="11" spans="1:3" x14ac:dyDescent="0.25">
      <c r="A11">
        <v>556</v>
      </c>
      <c r="B11" t="s">
        <v>12</v>
      </c>
      <c r="C11" s="1">
        <v>8475383702</v>
      </c>
    </row>
    <row r="12" spans="1:3" x14ac:dyDescent="0.25">
      <c r="A12">
        <v>573</v>
      </c>
      <c r="B12" t="s">
        <v>24</v>
      </c>
      <c r="C12" s="1">
        <v>26682678482</v>
      </c>
    </row>
    <row r="13" spans="1:3" x14ac:dyDescent="0.25">
      <c r="A13">
        <v>573</v>
      </c>
      <c r="B13" t="s">
        <v>25</v>
      </c>
      <c r="C13" s="1">
        <v>25724468027</v>
      </c>
    </row>
    <row r="14" spans="1:3" x14ac:dyDescent="0.25">
      <c r="A14">
        <v>573</v>
      </c>
      <c r="B14" t="s">
        <v>26</v>
      </c>
      <c r="C14" s="1">
        <v>24624963809</v>
      </c>
    </row>
    <row r="15" spans="1:3" x14ac:dyDescent="0.25">
      <c r="A15">
        <v>573</v>
      </c>
      <c r="B15" t="s">
        <v>27</v>
      </c>
      <c r="C15" s="1">
        <v>19791076551</v>
      </c>
    </row>
    <row r="16" spans="1:3" x14ac:dyDescent="0.25">
      <c r="A16">
        <v>573</v>
      </c>
      <c r="B16" t="s">
        <v>28</v>
      </c>
      <c r="C16" s="1">
        <v>17581192517</v>
      </c>
    </row>
    <row r="17" spans="1:3" x14ac:dyDescent="0.25">
      <c r="A17">
        <v>573</v>
      </c>
      <c r="B17" t="s">
        <v>29</v>
      </c>
      <c r="C17" s="1">
        <v>16826733548</v>
      </c>
    </row>
    <row r="18" spans="1:3" x14ac:dyDescent="0.25">
      <c r="A18">
        <v>573</v>
      </c>
      <c r="B18" t="s">
        <v>30</v>
      </c>
      <c r="C18" s="1">
        <v>12274164776</v>
      </c>
    </row>
    <row r="19" spans="1:3" x14ac:dyDescent="0.25">
      <c r="A19">
        <v>573</v>
      </c>
      <c r="B19" t="s">
        <v>31</v>
      </c>
      <c r="C19" s="1">
        <v>5363579025</v>
      </c>
    </row>
    <row r="20" spans="1:3" x14ac:dyDescent="0.25">
      <c r="A20">
        <v>573</v>
      </c>
      <c r="B20" t="s">
        <v>32</v>
      </c>
      <c r="C20" s="1">
        <v>1982873971</v>
      </c>
    </row>
    <row r="21" spans="1:3" x14ac:dyDescent="0.25">
      <c r="A21">
        <v>573</v>
      </c>
      <c r="B21" t="s">
        <v>33</v>
      </c>
      <c r="C21" s="1">
        <v>1146507151</v>
      </c>
    </row>
    <row r="22" spans="1:3" x14ac:dyDescent="0.25">
      <c r="A22">
        <v>598</v>
      </c>
      <c r="B22" t="s">
        <v>44</v>
      </c>
      <c r="C22" s="1">
        <v>28806262128</v>
      </c>
    </row>
    <row r="23" spans="1:3" x14ac:dyDescent="0.25">
      <c r="A23">
        <v>598</v>
      </c>
      <c r="B23" t="s">
        <v>45</v>
      </c>
      <c r="C23" s="1">
        <v>28368782635</v>
      </c>
    </row>
    <row r="24" spans="1:3" x14ac:dyDescent="0.25">
      <c r="A24">
        <v>598</v>
      </c>
      <c r="B24" t="s">
        <v>46</v>
      </c>
      <c r="C24" s="1">
        <v>23812138841</v>
      </c>
    </row>
    <row r="25" spans="1:3" x14ac:dyDescent="0.25">
      <c r="A25">
        <v>598</v>
      </c>
      <c r="B25" t="s">
        <v>47</v>
      </c>
      <c r="C25" s="1">
        <v>22122213555</v>
      </c>
    </row>
    <row r="26" spans="1:3" x14ac:dyDescent="0.25">
      <c r="A26">
        <v>598</v>
      </c>
      <c r="B26" t="s">
        <v>48</v>
      </c>
      <c r="C26" s="1">
        <v>17556404050</v>
      </c>
    </row>
    <row r="27" spans="1:3" x14ac:dyDescent="0.25">
      <c r="A27">
        <v>598</v>
      </c>
      <c r="B27" t="s">
        <v>49</v>
      </c>
      <c r="C27" s="1">
        <v>9495713263</v>
      </c>
    </row>
    <row r="28" spans="1:3" x14ac:dyDescent="0.25">
      <c r="A28">
        <v>598</v>
      </c>
      <c r="B28" t="s">
        <v>50</v>
      </c>
      <c r="C28" s="1">
        <v>8960457671</v>
      </c>
    </row>
    <row r="29" spans="1:3" x14ac:dyDescent="0.25">
      <c r="A29">
        <v>598</v>
      </c>
      <c r="B29" t="s">
        <v>51</v>
      </c>
      <c r="C29" s="1">
        <v>7302411324</v>
      </c>
    </row>
    <row r="30" spans="1:3" x14ac:dyDescent="0.25">
      <c r="A30">
        <v>598</v>
      </c>
      <c r="B30" t="s">
        <v>52</v>
      </c>
      <c r="C30" s="1">
        <v>2983493887</v>
      </c>
    </row>
    <row r="31" spans="1:3" x14ac:dyDescent="0.25">
      <c r="A31">
        <v>598</v>
      </c>
      <c r="B31" t="s">
        <v>53</v>
      </c>
      <c r="C31" s="1">
        <v>2566511980</v>
      </c>
    </row>
    <row r="32" spans="1:3" x14ac:dyDescent="0.25">
      <c r="A32">
        <v>603</v>
      </c>
      <c r="B32" t="s">
        <v>64</v>
      </c>
      <c r="C32" s="1">
        <v>22896977279</v>
      </c>
    </row>
    <row r="33" spans="1:3" x14ac:dyDescent="0.25">
      <c r="A33">
        <v>603</v>
      </c>
      <c r="B33" t="s">
        <v>65</v>
      </c>
      <c r="C33" s="1">
        <v>21757327662</v>
      </c>
    </row>
    <row r="34" spans="1:3" x14ac:dyDescent="0.25">
      <c r="A34">
        <v>603</v>
      </c>
      <c r="B34" t="s">
        <v>66</v>
      </c>
      <c r="C34" s="1">
        <v>18610596955</v>
      </c>
    </row>
    <row r="35" spans="1:3" x14ac:dyDescent="0.25">
      <c r="A35">
        <v>603</v>
      </c>
      <c r="B35" t="s">
        <v>67</v>
      </c>
      <c r="C35" s="1">
        <v>17050792285</v>
      </c>
    </row>
    <row r="36" spans="1:3" x14ac:dyDescent="0.25">
      <c r="A36">
        <v>603</v>
      </c>
      <c r="B36" t="s">
        <v>68</v>
      </c>
      <c r="C36" s="1">
        <v>14599003779</v>
      </c>
    </row>
    <row r="37" spans="1:3" x14ac:dyDescent="0.25">
      <c r="A37">
        <v>603</v>
      </c>
      <c r="B37" t="s">
        <v>69</v>
      </c>
      <c r="C37" s="1">
        <v>12990534738</v>
      </c>
    </row>
    <row r="38" spans="1:3" x14ac:dyDescent="0.25">
      <c r="A38">
        <v>603</v>
      </c>
      <c r="B38" t="s">
        <v>70</v>
      </c>
      <c r="C38" s="1">
        <v>11311605174</v>
      </c>
    </row>
    <row r="39" spans="1:3" x14ac:dyDescent="0.25">
      <c r="A39">
        <v>603</v>
      </c>
      <c r="B39" t="s">
        <v>71</v>
      </c>
      <c r="C39" s="1">
        <v>7901758950</v>
      </c>
    </row>
    <row r="40" spans="1:3" x14ac:dyDescent="0.25">
      <c r="A40">
        <v>603</v>
      </c>
      <c r="B40" t="s">
        <v>72</v>
      </c>
      <c r="C40" s="1">
        <v>7138833884</v>
      </c>
    </row>
    <row r="41" spans="1:3" x14ac:dyDescent="0.25">
      <c r="A41">
        <v>603</v>
      </c>
      <c r="B41" t="s">
        <v>73</v>
      </c>
      <c r="C41" s="1">
        <v>4548477645</v>
      </c>
    </row>
    <row r="42" spans="1:3" x14ac:dyDescent="0.25">
      <c r="A42">
        <v>626</v>
      </c>
      <c r="B42" t="s">
        <v>85</v>
      </c>
      <c r="C42" s="1">
        <v>20791424244</v>
      </c>
    </row>
    <row r="43" spans="1:3" x14ac:dyDescent="0.25">
      <c r="A43">
        <v>626</v>
      </c>
      <c r="B43" t="s">
        <v>86</v>
      </c>
      <c r="C43" s="1">
        <v>19898444846</v>
      </c>
    </row>
    <row r="44" spans="1:3" x14ac:dyDescent="0.25">
      <c r="A44">
        <v>626</v>
      </c>
      <c r="B44" t="s">
        <v>87</v>
      </c>
      <c r="C44" s="1">
        <v>18926448111</v>
      </c>
    </row>
    <row r="45" spans="1:3" x14ac:dyDescent="0.25">
      <c r="A45">
        <v>626</v>
      </c>
      <c r="B45" t="s">
        <v>88</v>
      </c>
      <c r="C45" s="1">
        <v>15095612779</v>
      </c>
    </row>
    <row r="46" spans="1:3" x14ac:dyDescent="0.25">
      <c r="A46">
        <v>626</v>
      </c>
      <c r="B46" t="s">
        <v>89</v>
      </c>
      <c r="C46" s="1">
        <v>9052734041</v>
      </c>
    </row>
    <row r="47" spans="1:3" x14ac:dyDescent="0.25">
      <c r="A47">
        <v>626</v>
      </c>
      <c r="B47" t="s">
        <v>90</v>
      </c>
      <c r="C47" s="1">
        <v>7437322352</v>
      </c>
    </row>
    <row r="48" spans="1:3" x14ac:dyDescent="0.25">
      <c r="A48">
        <v>626</v>
      </c>
      <c r="B48" t="s">
        <v>91</v>
      </c>
      <c r="C48" s="1">
        <v>2752782962</v>
      </c>
    </row>
    <row r="49" spans="1:3" x14ac:dyDescent="0.25">
      <c r="A49">
        <v>626</v>
      </c>
      <c r="B49" t="s">
        <v>92</v>
      </c>
      <c r="C49" s="1">
        <v>2300140275</v>
      </c>
    </row>
    <row r="50" spans="1:3" x14ac:dyDescent="0.25">
      <c r="A50">
        <v>626</v>
      </c>
      <c r="B50" t="s">
        <v>93</v>
      </c>
      <c r="C50" s="1">
        <v>2157023733</v>
      </c>
    </row>
    <row r="51" spans="1:3" x14ac:dyDescent="0.25">
      <c r="A51">
        <v>626</v>
      </c>
      <c r="B51" t="s">
        <v>94</v>
      </c>
      <c r="C51" s="1">
        <v>1826269675</v>
      </c>
    </row>
    <row r="52" spans="1:3" x14ac:dyDescent="0.25">
      <c r="A52">
        <v>638</v>
      </c>
      <c r="B52" t="s">
        <v>105</v>
      </c>
      <c r="C52" s="1">
        <v>27197708085</v>
      </c>
    </row>
    <row r="53" spans="1:3" x14ac:dyDescent="0.25">
      <c r="A53">
        <v>638</v>
      </c>
      <c r="B53" t="s">
        <v>106</v>
      </c>
      <c r="C53" s="1">
        <v>25822018861</v>
      </c>
    </row>
    <row r="54" spans="1:3" x14ac:dyDescent="0.25">
      <c r="A54">
        <v>638</v>
      </c>
      <c r="B54" t="s">
        <v>107</v>
      </c>
      <c r="C54" s="1">
        <v>22988090179</v>
      </c>
    </row>
    <row r="55" spans="1:3" x14ac:dyDescent="0.25">
      <c r="A55">
        <v>638</v>
      </c>
      <c r="B55" t="s">
        <v>108</v>
      </c>
      <c r="C55" s="1">
        <v>22877139845</v>
      </c>
    </row>
    <row r="56" spans="1:3" x14ac:dyDescent="0.25">
      <c r="A56">
        <v>638</v>
      </c>
      <c r="B56" t="s">
        <v>109</v>
      </c>
      <c r="C56" s="1">
        <v>21068140573</v>
      </c>
    </row>
    <row r="57" spans="1:3" x14ac:dyDescent="0.25">
      <c r="A57">
        <v>638</v>
      </c>
      <c r="B57" t="s">
        <v>110</v>
      </c>
      <c r="C57" s="1">
        <v>19871097475</v>
      </c>
    </row>
    <row r="58" spans="1:3" x14ac:dyDescent="0.25">
      <c r="A58">
        <v>638</v>
      </c>
      <c r="B58" t="s">
        <v>111</v>
      </c>
      <c r="C58" s="1">
        <v>17744830092</v>
      </c>
    </row>
    <row r="59" spans="1:3" x14ac:dyDescent="0.25">
      <c r="A59">
        <v>638</v>
      </c>
      <c r="B59" t="s">
        <v>112</v>
      </c>
      <c r="C59" s="1">
        <v>16369178923</v>
      </c>
    </row>
    <row r="60" spans="1:3" x14ac:dyDescent="0.25">
      <c r="A60">
        <v>638</v>
      </c>
      <c r="B60" t="s">
        <v>113</v>
      </c>
      <c r="C60" s="1">
        <v>14804428067</v>
      </c>
    </row>
    <row r="61" spans="1:3" x14ac:dyDescent="0.25">
      <c r="A61">
        <v>638</v>
      </c>
      <c r="B61" t="s">
        <v>114</v>
      </c>
      <c r="C61" s="1">
        <v>14326413765</v>
      </c>
    </row>
    <row r="62" spans="1:3" x14ac:dyDescent="0.25">
      <c r="A62">
        <v>662</v>
      </c>
      <c r="B62" t="s">
        <v>125</v>
      </c>
      <c r="C62" s="1">
        <v>27157571053</v>
      </c>
    </row>
    <row r="63" spans="1:3" x14ac:dyDescent="0.25">
      <c r="A63">
        <v>662</v>
      </c>
      <c r="B63" t="s">
        <v>126</v>
      </c>
      <c r="C63" s="1">
        <v>25233893811</v>
      </c>
    </row>
    <row r="64" spans="1:3" x14ac:dyDescent="0.25">
      <c r="A64">
        <v>662</v>
      </c>
      <c r="B64" t="s">
        <v>127</v>
      </c>
      <c r="C64" s="1">
        <v>23425054076</v>
      </c>
    </row>
    <row r="65" spans="1:3" x14ac:dyDescent="0.25">
      <c r="A65">
        <v>662</v>
      </c>
      <c r="B65" t="s">
        <v>128</v>
      </c>
      <c r="C65" s="1">
        <v>20588422493</v>
      </c>
    </row>
    <row r="66" spans="1:3" x14ac:dyDescent="0.25">
      <c r="A66">
        <v>662</v>
      </c>
      <c r="B66" t="s">
        <v>129</v>
      </c>
      <c r="C66" s="1">
        <v>17693804095</v>
      </c>
    </row>
    <row r="67" spans="1:3" x14ac:dyDescent="0.25">
      <c r="A67">
        <v>662</v>
      </c>
      <c r="B67" t="s">
        <v>130</v>
      </c>
      <c r="C67" s="1">
        <v>15432834960</v>
      </c>
    </row>
    <row r="68" spans="1:3" x14ac:dyDescent="0.25">
      <c r="A68">
        <v>662</v>
      </c>
      <c r="B68" t="s">
        <v>131</v>
      </c>
      <c r="C68" s="1">
        <v>14165831205</v>
      </c>
    </row>
    <row r="69" spans="1:3" x14ac:dyDescent="0.25">
      <c r="A69">
        <v>662</v>
      </c>
      <c r="B69" t="s">
        <v>132</v>
      </c>
      <c r="C69" s="1">
        <v>11015746105</v>
      </c>
    </row>
    <row r="70" spans="1:3" x14ac:dyDescent="0.25">
      <c r="A70">
        <v>662</v>
      </c>
      <c r="B70" t="s">
        <v>133</v>
      </c>
      <c r="C70" s="1">
        <v>8103038005</v>
      </c>
    </row>
    <row r="71" spans="1:3" x14ac:dyDescent="0.25">
      <c r="A71">
        <v>662</v>
      </c>
      <c r="B71" t="s">
        <v>134</v>
      </c>
      <c r="C71" s="1">
        <v>2482555401</v>
      </c>
    </row>
    <row r="72" spans="1:3" x14ac:dyDescent="0.25">
      <c r="A72">
        <v>667</v>
      </c>
      <c r="B72" t="s">
        <v>145</v>
      </c>
      <c r="C72" s="1">
        <v>21370159902</v>
      </c>
    </row>
    <row r="73" spans="1:3" x14ac:dyDescent="0.25">
      <c r="A73">
        <v>667</v>
      </c>
      <c r="B73" t="s">
        <v>146</v>
      </c>
      <c r="C73" s="1">
        <v>16267129551</v>
      </c>
    </row>
    <row r="74" spans="1:3" x14ac:dyDescent="0.25">
      <c r="A74">
        <v>667</v>
      </c>
      <c r="B74" t="s">
        <v>147</v>
      </c>
      <c r="C74" s="1">
        <v>12958775644</v>
      </c>
    </row>
    <row r="75" spans="1:3" x14ac:dyDescent="0.25">
      <c r="A75">
        <v>667</v>
      </c>
      <c r="B75" t="s">
        <v>148</v>
      </c>
      <c r="C75" s="1">
        <v>3232715542</v>
      </c>
    </row>
    <row r="76" spans="1:3" x14ac:dyDescent="0.25">
      <c r="A76">
        <v>667</v>
      </c>
      <c r="B76" t="s">
        <v>149</v>
      </c>
      <c r="C76" s="1">
        <v>1389053163</v>
      </c>
    </row>
    <row r="77" spans="1:3" x14ac:dyDescent="0.25">
      <c r="A77">
        <v>667</v>
      </c>
      <c r="B77" t="s">
        <v>150</v>
      </c>
      <c r="C77" s="1">
        <v>1104636213</v>
      </c>
    </row>
    <row r="78" spans="1:3" x14ac:dyDescent="0.25">
      <c r="A78">
        <v>667</v>
      </c>
      <c r="B78" t="s">
        <v>151</v>
      </c>
      <c r="C78" s="1">
        <v>979462870</v>
      </c>
    </row>
    <row r="79" spans="1:3" x14ac:dyDescent="0.25">
      <c r="A79">
        <v>667</v>
      </c>
      <c r="B79" t="s">
        <v>152</v>
      </c>
      <c r="C79" s="1">
        <v>883014091</v>
      </c>
    </row>
    <row r="80" spans="1:3" x14ac:dyDescent="0.25">
      <c r="A80">
        <v>667</v>
      </c>
      <c r="B80" t="s">
        <v>153</v>
      </c>
      <c r="C80" s="1">
        <v>729552155</v>
      </c>
    </row>
    <row r="81" spans="1:3" x14ac:dyDescent="0.25">
      <c r="A81">
        <v>667</v>
      </c>
      <c r="B81" s="2">
        <v>132</v>
      </c>
      <c r="C81" s="1">
        <v>483512162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BADA-C8A1-4453-8FB3-2CBB501BAA76}">
  <dimension ref="A1:D161"/>
  <sheetViews>
    <sheetView tabSelected="1" workbookViewId="0">
      <selection activeCell="H7" sqref="H7"/>
    </sheetView>
  </sheetViews>
  <sheetFormatPr baseColWidth="10" defaultRowHeight="15" x14ac:dyDescent="0.25"/>
  <cols>
    <col min="3" max="3" width="21.42578125" customWidth="1"/>
    <col min="4" max="4" width="15.7109375" customWidth="1"/>
  </cols>
  <sheetData>
    <row r="1" spans="1:4" x14ac:dyDescent="0.25">
      <c r="A1" t="s">
        <v>0</v>
      </c>
      <c r="B1" t="s">
        <v>1</v>
      </c>
      <c r="C1" t="s">
        <v>13</v>
      </c>
      <c r="D1" t="s">
        <v>353</v>
      </c>
    </row>
    <row r="2" spans="1:4" x14ac:dyDescent="0.25">
      <c r="A2">
        <v>556</v>
      </c>
      <c r="B2" t="s">
        <v>3</v>
      </c>
      <c r="C2" t="s">
        <v>14</v>
      </c>
      <c r="D2" s="1">
        <v>304126796</v>
      </c>
    </row>
    <row r="3" spans="1:4" x14ac:dyDescent="0.25">
      <c r="A3">
        <v>556</v>
      </c>
      <c r="B3" t="s">
        <v>3</v>
      </c>
      <c r="C3" t="s">
        <v>15</v>
      </c>
      <c r="D3" s="1">
        <v>278412655</v>
      </c>
    </row>
    <row r="4" spans="1:4" x14ac:dyDescent="0.25">
      <c r="A4">
        <v>556</v>
      </c>
      <c r="B4" t="s">
        <v>3</v>
      </c>
      <c r="C4" t="s">
        <v>16</v>
      </c>
      <c r="D4" s="1">
        <v>270144817</v>
      </c>
    </row>
    <row r="5" spans="1:4" x14ac:dyDescent="0.25">
      <c r="A5">
        <v>556</v>
      </c>
      <c r="B5" t="s">
        <v>3</v>
      </c>
      <c r="C5" t="s">
        <v>17</v>
      </c>
      <c r="D5" s="1">
        <v>268739106</v>
      </c>
    </row>
    <row r="6" spans="1:4" x14ac:dyDescent="0.25">
      <c r="A6">
        <v>556</v>
      </c>
      <c r="B6" t="s">
        <v>3</v>
      </c>
      <c r="C6" t="s">
        <v>18</v>
      </c>
      <c r="D6" s="1">
        <v>267564204</v>
      </c>
    </row>
    <row r="7" spans="1:4" x14ac:dyDescent="0.25">
      <c r="A7">
        <v>556</v>
      </c>
      <c r="B7" t="s">
        <v>3</v>
      </c>
      <c r="C7" t="s">
        <v>19</v>
      </c>
      <c r="D7" s="1">
        <v>245431994</v>
      </c>
    </row>
    <row r="8" spans="1:4" x14ac:dyDescent="0.25">
      <c r="A8">
        <v>556</v>
      </c>
      <c r="B8" t="s">
        <v>3</v>
      </c>
      <c r="C8" t="s">
        <v>20</v>
      </c>
      <c r="D8" s="1">
        <v>240023696</v>
      </c>
    </row>
    <row r="9" spans="1:4" x14ac:dyDescent="0.25">
      <c r="A9">
        <v>556</v>
      </c>
      <c r="B9" s="2">
        <v>208</v>
      </c>
      <c r="C9" t="s">
        <v>21</v>
      </c>
      <c r="D9" s="1">
        <v>238570486</v>
      </c>
    </row>
    <row r="10" spans="1:4" x14ac:dyDescent="0.25">
      <c r="A10">
        <v>556</v>
      </c>
      <c r="B10" t="s">
        <v>5</v>
      </c>
      <c r="C10" t="s">
        <v>22</v>
      </c>
      <c r="D10" s="1">
        <v>237069945</v>
      </c>
    </row>
    <row r="11" spans="1:4" x14ac:dyDescent="0.25">
      <c r="A11">
        <v>556</v>
      </c>
      <c r="B11" t="s">
        <v>3</v>
      </c>
      <c r="C11" t="s">
        <v>23</v>
      </c>
      <c r="D11" s="1">
        <v>236896955</v>
      </c>
    </row>
    <row r="12" spans="1:4" x14ac:dyDescent="0.25">
      <c r="A12">
        <v>556</v>
      </c>
      <c r="B12" t="s">
        <v>168</v>
      </c>
      <c r="C12" t="s">
        <v>178</v>
      </c>
      <c r="D12" s="1">
        <v>234363693</v>
      </c>
    </row>
    <row r="13" spans="1:4" x14ac:dyDescent="0.25">
      <c r="A13">
        <v>556</v>
      </c>
      <c r="B13" t="s">
        <v>3</v>
      </c>
      <c r="C13" t="s">
        <v>177</v>
      </c>
      <c r="D13" s="1">
        <v>225252882</v>
      </c>
    </row>
    <row r="14" spans="1:4" x14ac:dyDescent="0.25">
      <c r="A14">
        <v>556</v>
      </c>
      <c r="B14" t="s">
        <v>4</v>
      </c>
      <c r="C14" t="s">
        <v>176</v>
      </c>
      <c r="D14" s="1">
        <v>222785743</v>
      </c>
    </row>
    <row r="15" spans="1:4" x14ac:dyDescent="0.25">
      <c r="A15">
        <v>556</v>
      </c>
      <c r="B15" t="s">
        <v>4</v>
      </c>
      <c r="C15" t="s">
        <v>175</v>
      </c>
      <c r="D15" s="1">
        <v>220579011</v>
      </c>
    </row>
    <row r="16" spans="1:4" x14ac:dyDescent="0.25">
      <c r="A16">
        <v>556</v>
      </c>
      <c r="B16" t="s">
        <v>3</v>
      </c>
      <c r="C16" t="s">
        <v>174</v>
      </c>
      <c r="D16" s="1">
        <v>220569021</v>
      </c>
    </row>
    <row r="17" spans="1:4" x14ac:dyDescent="0.25">
      <c r="A17">
        <v>556</v>
      </c>
      <c r="B17" t="s">
        <v>6</v>
      </c>
      <c r="C17" t="s">
        <v>173</v>
      </c>
      <c r="D17" s="1">
        <v>219226826</v>
      </c>
    </row>
    <row r="18" spans="1:4" x14ac:dyDescent="0.25">
      <c r="A18">
        <v>556</v>
      </c>
      <c r="B18" t="s">
        <v>3</v>
      </c>
      <c r="C18" t="s">
        <v>172</v>
      </c>
      <c r="D18" s="1">
        <v>218115038</v>
      </c>
    </row>
    <row r="19" spans="1:4" x14ac:dyDescent="0.25">
      <c r="A19">
        <v>556</v>
      </c>
      <c r="B19" t="s">
        <v>3</v>
      </c>
      <c r="C19" t="s">
        <v>171</v>
      </c>
      <c r="D19" s="1">
        <v>217790244</v>
      </c>
    </row>
    <row r="20" spans="1:4" x14ac:dyDescent="0.25">
      <c r="A20">
        <v>556</v>
      </c>
      <c r="B20" t="s">
        <v>3</v>
      </c>
      <c r="C20" t="s">
        <v>170</v>
      </c>
      <c r="D20" s="1">
        <v>216674508</v>
      </c>
    </row>
    <row r="21" spans="1:4" x14ac:dyDescent="0.25">
      <c r="A21">
        <v>556</v>
      </c>
      <c r="B21" t="s">
        <v>4</v>
      </c>
      <c r="C21" t="s">
        <v>169</v>
      </c>
      <c r="D21" s="1">
        <v>215244753</v>
      </c>
    </row>
    <row r="22" spans="1:4" x14ac:dyDescent="0.25">
      <c r="A22">
        <v>573</v>
      </c>
      <c r="B22" t="s">
        <v>26</v>
      </c>
      <c r="C22" t="s">
        <v>34</v>
      </c>
      <c r="D22" s="1">
        <v>263304436</v>
      </c>
    </row>
    <row r="23" spans="1:4" x14ac:dyDescent="0.25">
      <c r="A23">
        <v>573</v>
      </c>
      <c r="B23" t="s">
        <v>26</v>
      </c>
      <c r="C23" t="s">
        <v>35</v>
      </c>
      <c r="D23" s="1">
        <v>255664276</v>
      </c>
    </row>
    <row r="24" spans="1:4" x14ac:dyDescent="0.25">
      <c r="A24">
        <v>573</v>
      </c>
      <c r="B24" t="s">
        <v>24</v>
      </c>
      <c r="C24" t="s">
        <v>36</v>
      </c>
      <c r="D24" s="1">
        <v>244273528</v>
      </c>
    </row>
    <row r="25" spans="1:4" x14ac:dyDescent="0.25">
      <c r="A25">
        <v>573</v>
      </c>
      <c r="B25" t="s">
        <v>25</v>
      </c>
      <c r="C25" t="s">
        <v>37</v>
      </c>
      <c r="D25" s="1">
        <v>231473575</v>
      </c>
    </row>
    <row r="26" spans="1:4" x14ac:dyDescent="0.25">
      <c r="A26">
        <v>573</v>
      </c>
      <c r="B26" t="s">
        <v>24</v>
      </c>
      <c r="C26" t="s">
        <v>38</v>
      </c>
      <c r="D26" s="1">
        <v>230718126</v>
      </c>
    </row>
    <row r="27" spans="1:4" x14ac:dyDescent="0.25">
      <c r="A27">
        <v>573</v>
      </c>
      <c r="B27" t="s">
        <v>24</v>
      </c>
      <c r="C27" t="s">
        <v>39</v>
      </c>
      <c r="D27" s="1">
        <v>223962505</v>
      </c>
    </row>
    <row r="28" spans="1:4" x14ac:dyDescent="0.25">
      <c r="A28">
        <v>573</v>
      </c>
      <c r="B28" t="s">
        <v>25</v>
      </c>
      <c r="C28" t="s">
        <v>40</v>
      </c>
      <c r="D28" s="1">
        <v>219781029</v>
      </c>
    </row>
    <row r="29" spans="1:4" x14ac:dyDescent="0.25">
      <c r="A29">
        <v>573</v>
      </c>
      <c r="B29" t="s">
        <v>26</v>
      </c>
      <c r="C29" t="s">
        <v>41</v>
      </c>
      <c r="D29" s="1">
        <v>217642219</v>
      </c>
    </row>
    <row r="30" spans="1:4" x14ac:dyDescent="0.25">
      <c r="A30">
        <v>573</v>
      </c>
      <c r="B30" t="s">
        <v>25</v>
      </c>
      <c r="C30" t="s">
        <v>42</v>
      </c>
      <c r="D30" s="1">
        <v>213616178</v>
      </c>
    </row>
    <row r="31" spans="1:4" x14ac:dyDescent="0.25">
      <c r="A31">
        <v>573</v>
      </c>
      <c r="B31" t="s">
        <v>24</v>
      </c>
      <c r="C31" t="s">
        <v>43</v>
      </c>
      <c r="D31" s="1">
        <v>212834965</v>
      </c>
    </row>
    <row r="32" spans="1:4" x14ac:dyDescent="0.25">
      <c r="A32">
        <v>573</v>
      </c>
      <c r="B32" t="s">
        <v>26</v>
      </c>
      <c r="C32" t="s">
        <v>188</v>
      </c>
      <c r="D32" s="1">
        <v>208851424</v>
      </c>
    </row>
    <row r="33" spans="1:4" x14ac:dyDescent="0.25">
      <c r="A33">
        <v>573</v>
      </c>
      <c r="B33" t="s">
        <v>25</v>
      </c>
      <c r="C33" t="s">
        <v>187</v>
      </c>
      <c r="D33" s="1">
        <v>207130848</v>
      </c>
    </row>
    <row r="34" spans="1:4" x14ac:dyDescent="0.25">
      <c r="A34">
        <v>573</v>
      </c>
      <c r="B34" t="s">
        <v>29</v>
      </c>
      <c r="C34" t="s">
        <v>186</v>
      </c>
      <c r="D34" s="1">
        <v>205819991</v>
      </c>
    </row>
    <row r="35" spans="1:4" x14ac:dyDescent="0.25">
      <c r="A35">
        <v>573</v>
      </c>
      <c r="B35" t="s">
        <v>24</v>
      </c>
      <c r="C35" t="s">
        <v>185</v>
      </c>
      <c r="D35" s="1">
        <v>202665574</v>
      </c>
    </row>
    <row r="36" spans="1:4" x14ac:dyDescent="0.25">
      <c r="A36">
        <v>573</v>
      </c>
      <c r="B36" t="s">
        <v>24</v>
      </c>
      <c r="C36" t="s">
        <v>184</v>
      </c>
      <c r="D36" s="1">
        <v>202087856</v>
      </c>
    </row>
    <row r="37" spans="1:4" x14ac:dyDescent="0.25">
      <c r="A37">
        <v>573</v>
      </c>
      <c r="B37" t="s">
        <v>24</v>
      </c>
      <c r="C37" t="s">
        <v>183</v>
      </c>
      <c r="D37" s="1">
        <v>200426212</v>
      </c>
    </row>
    <row r="38" spans="1:4" x14ac:dyDescent="0.25">
      <c r="A38">
        <v>573</v>
      </c>
      <c r="B38" t="s">
        <v>24</v>
      </c>
      <c r="C38" t="s">
        <v>182</v>
      </c>
      <c r="D38" s="1">
        <v>200342020</v>
      </c>
    </row>
    <row r="39" spans="1:4" x14ac:dyDescent="0.25">
      <c r="A39">
        <v>573</v>
      </c>
      <c r="B39" t="s">
        <v>25</v>
      </c>
      <c r="C39" t="s">
        <v>181</v>
      </c>
      <c r="D39" s="1">
        <v>198995855</v>
      </c>
    </row>
    <row r="40" spans="1:4" x14ac:dyDescent="0.25">
      <c r="A40">
        <v>573</v>
      </c>
      <c r="B40" t="s">
        <v>24</v>
      </c>
      <c r="C40" t="s">
        <v>180</v>
      </c>
      <c r="D40" s="1">
        <v>196427860</v>
      </c>
    </row>
    <row r="41" spans="1:4" x14ac:dyDescent="0.25">
      <c r="A41">
        <v>573</v>
      </c>
      <c r="B41" t="s">
        <v>24</v>
      </c>
      <c r="C41" t="s">
        <v>179</v>
      </c>
      <c r="D41" s="1">
        <v>196115742</v>
      </c>
    </row>
    <row r="42" spans="1:4" x14ac:dyDescent="0.25">
      <c r="A42">
        <v>598</v>
      </c>
      <c r="B42" t="s">
        <v>46</v>
      </c>
      <c r="C42" t="s">
        <v>54</v>
      </c>
      <c r="D42" s="1">
        <v>336203880</v>
      </c>
    </row>
    <row r="43" spans="1:4" x14ac:dyDescent="0.25">
      <c r="A43">
        <v>598</v>
      </c>
      <c r="B43" t="s">
        <v>44</v>
      </c>
      <c r="C43" t="s">
        <v>55</v>
      </c>
      <c r="D43" s="1">
        <v>318781968</v>
      </c>
    </row>
    <row r="44" spans="1:4" x14ac:dyDescent="0.25">
      <c r="A44">
        <v>598</v>
      </c>
      <c r="B44" t="s">
        <v>45</v>
      </c>
      <c r="C44" t="s">
        <v>56</v>
      </c>
      <c r="D44" s="1">
        <v>309567986</v>
      </c>
    </row>
    <row r="45" spans="1:4" x14ac:dyDescent="0.25">
      <c r="A45">
        <v>598</v>
      </c>
      <c r="B45" t="s">
        <v>44</v>
      </c>
      <c r="C45" t="s">
        <v>57</v>
      </c>
      <c r="D45" s="1">
        <v>303709015</v>
      </c>
    </row>
    <row r="46" spans="1:4" x14ac:dyDescent="0.25">
      <c r="A46">
        <v>598</v>
      </c>
      <c r="B46" t="s">
        <v>44</v>
      </c>
      <c r="C46" t="s">
        <v>58</v>
      </c>
      <c r="D46" s="1">
        <v>296533922</v>
      </c>
    </row>
    <row r="47" spans="1:4" x14ac:dyDescent="0.25">
      <c r="A47">
        <v>598</v>
      </c>
      <c r="B47" t="s">
        <v>44</v>
      </c>
      <c r="C47" t="s">
        <v>59</v>
      </c>
      <c r="D47" s="1">
        <v>288241028</v>
      </c>
    </row>
    <row r="48" spans="1:4" x14ac:dyDescent="0.25">
      <c r="A48">
        <v>598</v>
      </c>
      <c r="B48" t="s">
        <v>45</v>
      </c>
      <c r="C48" t="s">
        <v>60</v>
      </c>
      <c r="D48" s="1">
        <v>284630529</v>
      </c>
    </row>
    <row r="49" spans="1:4" x14ac:dyDescent="0.25">
      <c r="A49">
        <v>598</v>
      </c>
      <c r="B49" t="s">
        <v>45</v>
      </c>
      <c r="C49" t="s">
        <v>61</v>
      </c>
      <c r="D49" s="1">
        <v>248107896</v>
      </c>
    </row>
    <row r="50" spans="1:4" x14ac:dyDescent="0.25">
      <c r="A50">
        <v>598</v>
      </c>
      <c r="B50" t="s">
        <v>45</v>
      </c>
      <c r="C50" t="s">
        <v>62</v>
      </c>
      <c r="D50" s="1">
        <v>246419127</v>
      </c>
    </row>
    <row r="51" spans="1:4" x14ac:dyDescent="0.25">
      <c r="A51">
        <v>598</v>
      </c>
      <c r="B51" t="s">
        <v>44</v>
      </c>
      <c r="C51" t="s">
        <v>63</v>
      </c>
      <c r="D51" s="1">
        <v>245918432</v>
      </c>
    </row>
    <row r="52" spans="1:4" x14ac:dyDescent="0.25">
      <c r="A52">
        <v>598</v>
      </c>
      <c r="B52" t="s">
        <v>45</v>
      </c>
      <c r="C52" t="s">
        <v>198</v>
      </c>
      <c r="D52" s="1">
        <v>244031928</v>
      </c>
    </row>
    <row r="53" spans="1:4" x14ac:dyDescent="0.25">
      <c r="A53">
        <v>598</v>
      </c>
      <c r="B53" t="s">
        <v>45</v>
      </c>
      <c r="C53" t="s">
        <v>197</v>
      </c>
      <c r="D53" s="1">
        <v>239714476</v>
      </c>
    </row>
    <row r="54" spans="1:4" x14ac:dyDescent="0.25">
      <c r="A54">
        <v>598</v>
      </c>
      <c r="B54" t="s">
        <v>44</v>
      </c>
      <c r="C54" t="s">
        <v>196</v>
      </c>
      <c r="D54" s="1">
        <v>236231186</v>
      </c>
    </row>
    <row r="55" spans="1:4" x14ac:dyDescent="0.25">
      <c r="A55">
        <v>598</v>
      </c>
      <c r="B55" t="s">
        <v>44</v>
      </c>
      <c r="C55" t="s">
        <v>195</v>
      </c>
      <c r="D55" s="1">
        <v>235252096</v>
      </c>
    </row>
    <row r="56" spans="1:4" x14ac:dyDescent="0.25">
      <c r="A56">
        <v>598</v>
      </c>
      <c r="B56" t="s">
        <v>44</v>
      </c>
      <c r="C56" t="s">
        <v>194</v>
      </c>
      <c r="D56" s="1">
        <v>232859288</v>
      </c>
    </row>
    <row r="57" spans="1:4" x14ac:dyDescent="0.25">
      <c r="A57">
        <v>598</v>
      </c>
      <c r="B57" t="s">
        <v>44</v>
      </c>
      <c r="C57" t="s">
        <v>193</v>
      </c>
      <c r="D57" s="1">
        <v>228319937</v>
      </c>
    </row>
    <row r="58" spans="1:4" x14ac:dyDescent="0.25">
      <c r="A58">
        <v>598</v>
      </c>
      <c r="B58" t="s">
        <v>45</v>
      </c>
      <c r="C58" t="s">
        <v>192</v>
      </c>
      <c r="D58" s="1">
        <v>228314129</v>
      </c>
    </row>
    <row r="59" spans="1:4" x14ac:dyDescent="0.25">
      <c r="A59">
        <v>598</v>
      </c>
      <c r="B59" t="s">
        <v>45</v>
      </c>
      <c r="C59" t="s">
        <v>191</v>
      </c>
      <c r="D59" s="1">
        <v>226339994</v>
      </c>
    </row>
    <row r="60" spans="1:4" x14ac:dyDescent="0.25">
      <c r="A60">
        <v>598</v>
      </c>
      <c r="B60" t="s">
        <v>45</v>
      </c>
      <c r="C60" t="s">
        <v>190</v>
      </c>
      <c r="D60" s="1">
        <v>225642564</v>
      </c>
    </row>
    <row r="61" spans="1:4" x14ac:dyDescent="0.25">
      <c r="A61">
        <v>598</v>
      </c>
      <c r="B61" t="s">
        <v>45</v>
      </c>
      <c r="C61" t="s">
        <v>189</v>
      </c>
      <c r="D61" s="1">
        <v>221365149</v>
      </c>
    </row>
    <row r="62" spans="1:4" x14ac:dyDescent="0.25">
      <c r="A62">
        <v>603</v>
      </c>
      <c r="C62" t="s">
        <v>74</v>
      </c>
      <c r="D62" s="1">
        <v>291453020</v>
      </c>
    </row>
    <row r="63" spans="1:4" x14ac:dyDescent="0.25">
      <c r="A63">
        <v>603</v>
      </c>
      <c r="B63" t="s">
        <v>64</v>
      </c>
      <c r="C63" t="s">
        <v>75</v>
      </c>
      <c r="D63" s="1">
        <v>267899402</v>
      </c>
    </row>
    <row r="64" spans="1:4" x14ac:dyDescent="0.25">
      <c r="A64">
        <v>603</v>
      </c>
      <c r="B64" t="s">
        <v>65</v>
      </c>
      <c r="C64" t="s">
        <v>76</v>
      </c>
      <c r="D64" s="1">
        <v>252261885</v>
      </c>
    </row>
    <row r="65" spans="1:4" x14ac:dyDescent="0.25">
      <c r="A65">
        <v>603</v>
      </c>
      <c r="B65" t="s">
        <v>64</v>
      </c>
      <c r="C65" t="s">
        <v>77</v>
      </c>
      <c r="D65" s="1">
        <v>236510648</v>
      </c>
    </row>
    <row r="66" spans="1:4" x14ac:dyDescent="0.25">
      <c r="A66">
        <v>603</v>
      </c>
      <c r="B66" t="s">
        <v>64</v>
      </c>
      <c r="C66" t="s">
        <v>78</v>
      </c>
      <c r="D66" s="1">
        <v>235375194</v>
      </c>
    </row>
    <row r="67" spans="1:4" x14ac:dyDescent="0.25">
      <c r="A67">
        <v>603</v>
      </c>
      <c r="B67" t="s">
        <v>64</v>
      </c>
      <c r="C67" t="s">
        <v>79</v>
      </c>
      <c r="D67" s="1">
        <v>234235422</v>
      </c>
    </row>
    <row r="68" spans="1:4" x14ac:dyDescent="0.25">
      <c r="A68">
        <v>603</v>
      </c>
      <c r="B68" t="s">
        <v>80</v>
      </c>
      <c r="C68" t="s">
        <v>81</v>
      </c>
      <c r="D68" s="1">
        <v>226525138</v>
      </c>
    </row>
    <row r="69" spans="1:4" x14ac:dyDescent="0.25">
      <c r="A69">
        <v>603</v>
      </c>
      <c r="B69" t="s">
        <v>65</v>
      </c>
      <c r="C69" t="s">
        <v>82</v>
      </c>
      <c r="D69" s="1">
        <v>221839385</v>
      </c>
    </row>
    <row r="70" spans="1:4" x14ac:dyDescent="0.25">
      <c r="A70">
        <v>603</v>
      </c>
      <c r="B70" t="s">
        <v>64</v>
      </c>
      <c r="C70" t="s">
        <v>83</v>
      </c>
      <c r="D70" s="1">
        <v>221091136</v>
      </c>
    </row>
    <row r="71" spans="1:4" x14ac:dyDescent="0.25">
      <c r="A71">
        <v>603</v>
      </c>
      <c r="B71" t="s">
        <v>64</v>
      </c>
      <c r="C71" t="s">
        <v>84</v>
      </c>
      <c r="D71" s="1">
        <v>219630862</v>
      </c>
    </row>
    <row r="72" spans="1:4" x14ac:dyDescent="0.25">
      <c r="A72">
        <v>603</v>
      </c>
      <c r="B72" t="s">
        <v>65</v>
      </c>
      <c r="C72" t="s">
        <v>208</v>
      </c>
      <c r="D72" s="1">
        <v>212670633</v>
      </c>
    </row>
    <row r="73" spans="1:4" x14ac:dyDescent="0.25">
      <c r="A73">
        <v>603</v>
      </c>
      <c r="B73" t="s">
        <v>69</v>
      </c>
      <c r="C73" t="s">
        <v>207</v>
      </c>
      <c r="D73" s="1">
        <v>212197150</v>
      </c>
    </row>
    <row r="74" spans="1:4" x14ac:dyDescent="0.25">
      <c r="A74">
        <v>603</v>
      </c>
      <c r="B74" t="s">
        <v>69</v>
      </c>
      <c r="C74" t="s">
        <v>206</v>
      </c>
      <c r="D74" s="1">
        <v>210519748</v>
      </c>
    </row>
    <row r="75" spans="1:4" x14ac:dyDescent="0.25">
      <c r="A75">
        <v>603</v>
      </c>
      <c r="B75" t="s">
        <v>65</v>
      </c>
      <c r="C75" t="s">
        <v>205</v>
      </c>
      <c r="D75" s="1">
        <v>209018680</v>
      </c>
    </row>
    <row r="76" spans="1:4" x14ac:dyDescent="0.25">
      <c r="A76">
        <v>603</v>
      </c>
      <c r="B76" t="s">
        <v>64</v>
      </c>
      <c r="C76" t="s">
        <v>204</v>
      </c>
      <c r="D76" s="1">
        <v>205420489</v>
      </c>
    </row>
    <row r="77" spans="1:4" x14ac:dyDescent="0.25">
      <c r="A77">
        <v>603</v>
      </c>
      <c r="B77" t="s">
        <v>64</v>
      </c>
      <c r="C77" t="s">
        <v>203</v>
      </c>
      <c r="D77" s="1">
        <v>202145103</v>
      </c>
    </row>
    <row r="78" spans="1:4" x14ac:dyDescent="0.25">
      <c r="A78">
        <v>603</v>
      </c>
      <c r="B78" t="s">
        <v>64</v>
      </c>
      <c r="C78" t="s">
        <v>202</v>
      </c>
      <c r="D78" s="1">
        <v>199317140</v>
      </c>
    </row>
    <row r="79" spans="1:4" x14ac:dyDescent="0.25">
      <c r="A79">
        <v>603</v>
      </c>
      <c r="B79" t="s">
        <v>80</v>
      </c>
      <c r="C79" t="s">
        <v>201</v>
      </c>
      <c r="D79" s="1">
        <v>198736707</v>
      </c>
    </row>
    <row r="80" spans="1:4" x14ac:dyDescent="0.25">
      <c r="A80">
        <v>603</v>
      </c>
      <c r="B80" t="s">
        <v>80</v>
      </c>
      <c r="C80" t="s">
        <v>200</v>
      </c>
      <c r="D80" s="1">
        <v>197319714</v>
      </c>
    </row>
    <row r="81" spans="1:4" x14ac:dyDescent="0.25">
      <c r="A81">
        <v>603</v>
      </c>
      <c r="B81" t="s">
        <v>80</v>
      </c>
      <c r="C81" t="s">
        <v>199</v>
      </c>
      <c r="D81" s="1">
        <v>197280827</v>
      </c>
    </row>
    <row r="82" spans="1:4" x14ac:dyDescent="0.25">
      <c r="A82">
        <v>626</v>
      </c>
      <c r="B82" t="s">
        <v>85</v>
      </c>
      <c r="C82" t="s">
        <v>95</v>
      </c>
      <c r="D82" s="1">
        <v>211945364</v>
      </c>
    </row>
    <row r="83" spans="1:4" x14ac:dyDescent="0.25">
      <c r="A83">
        <v>626</v>
      </c>
      <c r="C83" t="s">
        <v>96</v>
      </c>
      <c r="D83" s="1">
        <v>194692634</v>
      </c>
    </row>
    <row r="84" spans="1:4" x14ac:dyDescent="0.25">
      <c r="A84">
        <v>626</v>
      </c>
      <c r="B84" t="s">
        <v>85</v>
      </c>
      <c r="C84" t="s">
        <v>97</v>
      </c>
      <c r="D84" s="1">
        <v>179620452</v>
      </c>
    </row>
    <row r="85" spans="1:4" x14ac:dyDescent="0.25">
      <c r="A85">
        <v>626</v>
      </c>
      <c r="B85" t="s">
        <v>85</v>
      </c>
      <c r="C85" t="s">
        <v>98</v>
      </c>
      <c r="D85" s="1">
        <v>177137057</v>
      </c>
    </row>
    <row r="86" spans="1:4" x14ac:dyDescent="0.25">
      <c r="A86">
        <v>626</v>
      </c>
      <c r="B86" t="s">
        <v>86</v>
      </c>
      <c r="C86" t="s">
        <v>99</v>
      </c>
      <c r="D86" s="1">
        <v>176906796</v>
      </c>
    </row>
    <row r="87" spans="1:4" x14ac:dyDescent="0.25">
      <c r="A87">
        <v>626</v>
      </c>
      <c r="B87" t="s">
        <v>85</v>
      </c>
      <c r="C87" t="s">
        <v>100</v>
      </c>
      <c r="D87" s="1">
        <v>174256146</v>
      </c>
    </row>
    <row r="88" spans="1:4" x14ac:dyDescent="0.25">
      <c r="A88">
        <v>626</v>
      </c>
      <c r="B88" t="s">
        <v>85</v>
      </c>
      <c r="C88" t="s">
        <v>101</v>
      </c>
      <c r="D88" s="1">
        <v>173901786</v>
      </c>
    </row>
    <row r="89" spans="1:4" x14ac:dyDescent="0.25">
      <c r="A89">
        <v>626</v>
      </c>
      <c r="B89" t="s">
        <v>90</v>
      </c>
      <c r="C89" t="s">
        <v>102</v>
      </c>
      <c r="D89" s="1">
        <v>172435934</v>
      </c>
    </row>
    <row r="90" spans="1:4" x14ac:dyDescent="0.25">
      <c r="A90">
        <v>626</v>
      </c>
      <c r="B90" t="s">
        <v>85</v>
      </c>
      <c r="C90" t="s">
        <v>103</v>
      </c>
      <c r="D90" s="1">
        <v>170421976</v>
      </c>
    </row>
    <row r="91" spans="1:4" x14ac:dyDescent="0.25">
      <c r="A91">
        <v>626</v>
      </c>
      <c r="B91" t="s">
        <v>87</v>
      </c>
      <c r="C91" t="s">
        <v>218</v>
      </c>
      <c r="D91" s="1">
        <v>169545596</v>
      </c>
    </row>
    <row r="92" spans="1:4" x14ac:dyDescent="0.25">
      <c r="A92">
        <v>626</v>
      </c>
      <c r="B92" t="s">
        <v>89</v>
      </c>
      <c r="C92" t="s">
        <v>217</v>
      </c>
      <c r="D92" s="1">
        <v>168265433</v>
      </c>
    </row>
    <row r="93" spans="1:4" x14ac:dyDescent="0.25">
      <c r="A93">
        <v>626</v>
      </c>
      <c r="B93" t="s">
        <v>87</v>
      </c>
      <c r="C93" t="s">
        <v>104</v>
      </c>
      <c r="D93" s="1">
        <v>167027144</v>
      </c>
    </row>
    <row r="94" spans="1:4" x14ac:dyDescent="0.25">
      <c r="A94">
        <v>626</v>
      </c>
      <c r="B94" t="s">
        <v>85</v>
      </c>
      <c r="C94" t="s">
        <v>216</v>
      </c>
      <c r="D94" s="1">
        <v>166774647</v>
      </c>
    </row>
    <row r="95" spans="1:4" x14ac:dyDescent="0.25">
      <c r="A95">
        <v>626</v>
      </c>
      <c r="B95" t="s">
        <v>85</v>
      </c>
      <c r="C95" t="s">
        <v>215</v>
      </c>
      <c r="D95" s="1">
        <v>166650171</v>
      </c>
    </row>
    <row r="96" spans="1:4" x14ac:dyDescent="0.25">
      <c r="A96">
        <v>626</v>
      </c>
      <c r="B96" t="s">
        <v>90</v>
      </c>
      <c r="C96" t="s">
        <v>214</v>
      </c>
      <c r="D96" s="1">
        <v>166319418</v>
      </c>
    </row>
    <row r="97" spans="1:4" x14ac:dyDescent="0.25">
      <c r="A97">
        <v>626</v>
      </c>
      <c r="B97" t="s">
        <v>85</v>
      </c>
      <c r="C97" t="s">
        <v>213</v>
      </c>
      <c r="D97" s="1">
        <v>166170515</v>
      </c>
    </row>
    <row r="98" spans="1:4" x14ac:dyDescent="0.25">
      <c r="A98">
        <v>626</v>
      </c>
      <c r="B98" t="s">
        <v>85</v>
      </c>
      <c r="C98" t="s">
        <v>212</v>
      </c>
      <c r="D98" s="1">
        <v>164384699</v>
      </c>
    </row>
    <row r="99" spans="1:4" x14ac:dyDescent="0.25">
      <c r="A99">
        <v>626</v>
      </c>
      <c r="B99" t="s">
        <v>89</v>
      </c>
      <c r="C99" t="s">
        <v>211</v>
      </c>
      <c r="D99" s="1">
        <v>162934507</v>
      </c>
    </row>
    <row r="100" spans="1:4" x14ac:dyDescent="0.25">
      <c r="A100">
        <v>626</v>
      </c>
      <c r="B100" t="s">
        <v>85</v>
      </c>
      <c r="C100" t="s">
        <v>210</v>
      </c>
      <c r="D100" s="1">
        <v>161539132</v>
      </c>
    </row>
    <row r="101" spans="1:4" x14ac:dyDescent="0.25">
      <c r="A101">
        <v>626</v>
      </c>
      <c r="B101" t="s">
        <v>85</v>
      </c>
      <c r="C101" t="s">
        <v>209</v>
      </c>
      <c r="D101" s="1">
        <v>160919105</v>
      </c>
    </row>
    <row r="102" spans="1:4" x14ac:dyDescent="0.25">
      <c r="A102">
        <v>638</v>
      </c>
      <c r="B102" t="s">
        <v>106</v>
      </c>
      <c r="C102" t="s">
        <v>115</v>
      </c>
      <c r="D102" s="1">
        <v>352495102</v>
      </c>
    </row>
    <row r="103" spans="1:4" x14ac:dyDescent="0.25">
      <c r="A103">
        <v>638</v>
      </c>
      <c r="B103" t="s">
        <v>105</v>
      </c>
      <c r="C103" t="s">
        <v>116</v>
      </c>
      <c r="D103" s="1">
        <v>339641617</v>
      </c>
    </row>
    <row r="104" spans="1:4" x14ac:dyDescent="0.25">
      <c r="A104">
        <v>638</v>
      </c>
      <c r="B104" t="s">
        <v>105</v>
      </c>
      <c r="C104" t="s">
        <v>117</v>
      </c>
      <c r="D104" s="1">
        <v>318242715</v>
      </c>
    </row>
    <row r="105" spans="1:4" x14ac:dyDescent="0.25">
      <c r="A105">
        <v>638</v>
      </c>
      <c r="B105" t="s">
        <v>106</v>
      </c>
      <c r="C105" t="s">
        <v>118</v>
      </c>
      <c r="D105" s="1">
        <v>288911318</v>
      </c>
    </row>
    <row r="106" spans="1:4" x14ac:dyDescent="0.25">
      <c r="A106">
        <v>638</v>
      </c>
      <c r="B106" t="s">
        <v>106</v>
      </c>
      <c r="C106" t="s">
        <v>119</v>
      </c>
      <c r="D106" s="1">
        <v>283389208</v>
      </c>
    </row>
    <row r="107" spans="1:4" x14ac:dyDescent="0.25">
      <c r="A107">
        <v>638</v>
      </c>
      <c r="B107" t="s">
        <v>105</v>
      </c>
      <c r="C107" t="s">
        <v>120</v>
      </c>
      <c r="D107" s="1">
        <v>276377526</v>
      </c>
    </row>
    <row r="108" spans="1:4" x14ac:dyDescent="0.25">
      <c r="A108">
        <v>638</v>
      </c>
      <c r="B108" t="s">
        <v>105</v>
      </c>
      <c r="C108" t="s">
        <v>121</v>
      </c>
      <c r="D108" s="1">
        <v>269096936</v>
      </c>
    </row>
    <row r="109" spans="1:4" x14ac:dyDescent="0.25">
      <c r="A109">
        <v>638</v>
      </c>
      <c r="B109" t="s">
        <v>107</v>
      </c>
      <c r="C109" t="s">
        <v>122</v>
      </c>
      <c r="D109" s="1">
        <v>268404160</v>
      </c>
    </row>
    <row r="110" spans="1:4" x14ac:dyDescent="0.25">
      <c r="A110">
        <v>638</v>
      </c>
      <c r="B110" t="s">
        <v>108</v>
      </c>
      <c r="C110" t="s">
        <v>123</v>
      </c>
      <c r="D110" s="1">
        <v>267621998</v>
      </c>
    </row>
    <row r="111" spans="1:4" x14ac:dyDescent="0.25">
      <c r="A111">
        <v>638</v>
      </c>
      <c r="B111" t="s">
        <v>106</v>
      </c>
      <c r="C111" t="s">
        <v>124</v>
      </c>
      <c r="D111" s="1">
        <v>267428355</v>
      </c>
    </row>
    <row r="112" spans="1:4" x14ac:dyDescent="0.25">
      <c r="A112">
        <v>638</v>
      </c>
      <c r="B112" t="s">
        <v>110</v>
      </c>
      <c r="C112" t="s">
        <v>229</v>
      </c>
      <c r="D112" s="1">
        <v>264415232</v>
      </c>
    </row>
    <row r="113" spans="1:4" x14ac:dyDescent="0.25">
      <c r="A113">
        <v>638</v>
      </c>
      <c r="B113" t="s">
        <v>109</v>
      </c>
      <c r="C113" t="s">
        <v>228</v>
      </c>
      <c r="D113" s="1">
        <v>260283254</v>
      </c>
    </row>
    <row r="114" spans="1:4" x14ac:dyDescent="0.25">
      <c r="A114">
        <v>638</v>
      </c>
      <c r="B114" t="s">
        <v>106</v>
      </c>
      <c r="C114" t="s">
        <v>227</v>
      </c>
      <c r="D114" s="1">
        <v>252811062</v>
      </c>
    </row>
    <row r="115" spans="1:4" x14ac:dyDescent="0.25">
      <c r="A115">
        <v>638</v>
      </c>
      <c r="B115" t="s">
        <v>108</v>
      </c>
      <c r="C115" t="s">
        <v>226</v>
      </c>
      <c r="D115" s="1">
        <v>251390355</v>
      </c>
    </row>
    <row r="116" spans="1:4" x14ac:dyDescent="0.25">
      <c r="A116">
        <v>638</v>
      </c>
      <c r="B116" t="s">
        <v>219</v>
      </c>
      <c r="C116" t="s">
        <v>225</v>
      </c>
      <c r="D116" s="1">
        <v>245945122</v>
      </c>
    </row>
    <row r="117" spans="1:4" x14ac:dyDescent="0.25">
      <c r="A117">
        <v>638</v>
      </c>
      <c r="B117" t="s">
        <v>110</v>
      </c>
      <c r="C117" t="s">
        <v>224</v>
      </c>
      <c r="D117" s="1">
        <v>238573470</v>
      </c>
    </row>
    <row r="118" spans="1:4" x14ac:dyDescent="0.25">
      <c r="A118">
        <v>638</v>
      </c>
      <c r="B118" t="s">
        <v>105</v>
      </c>
      <c r="C118" t="s">
        <v>223</v>
      </c>
      <c r="D118" s="1">
        <v>237953253</v>
      </c>
    </row>
    <row r="119" spans="1:4" x14ac:dyDescent="0.25">
      <c r="A119">
        <v>638</v>
      </c>
      <c r="B119" t="s">
        <v>110</v>
      </c>
      <c r="C119" t="s">
        <v>222</v>
      </c>
      <c r="D119" s="1">
        <v>235158674</v>
      </c>
    </row>
    <row r="120" spans="1:4" x14ac:dyDescent="0.25">
      <c r="A120">
        <v>638</v>
      </c>
      <c r="B120" t="s">
        <v>106</v>
      </c>
      <c r="C120" t="s">
        <v>221</v>
      </c>
      <c r="D120" s="1">
        <v>234502275</v>
      </c>
    </row>
    <row r="121" spans="1:4" x14ac:dyDescent="0.25">
      <c r="A121">
        <v>638</v>
      </c>
      <c r="B121" t="s">
        <v>105</v>
      </c>
      <c r="C121" t="s">
        <v>220</v>
      </c>
      <c r="D121" s="1">
        <v>233385927</v>
      </c>
    </row>
    <row r="122" spans="1:4" x14ac:dyDescent="0.25">
      <c r="A122">
        <v>662</v>
      </c>
      <c r="B122" t="s">
        <v>125</v>
      </c>
      <c r="C122" t="s">
        <v>135</v>
      </c>
      <c r="D122" s="1">
        <v>340759270</v>
      </c>
    </row>
    <row r="123" spans="1:4" x14ac:dyDescent="0.25">
      <c r="A123">
        <v>662</v>
      </c>
      <c r="B123" t="s">
        <v>125</v>
      </c>
      <c r="C123" t="s">
        <v>136</v>
      </c>
      <c r="D123" s="1">
        <v>295531756</v>
      </c>
    </row>
    <row r="124" spans="1:4" x14ac:dyDescent="0.25">
      <c r="A124">
        <v>662</v>
      </c>
      <c r="B124" t="s">
        <v>125</v>
      </c>
      <c r="C124" t="s">
        <v>137</v>
      </c>
      <c r="D124" s="1">
        <v>277433828</v>
      </c>
    </row>
    <row r="125" spans="1:4" x14ac:dyDescent="0.25">
      <c r="A125">
        <v>662</v>
      </c>
      <c r="B125" t="s">
        <v>125</v>
      </c>
      <c r="C125" t="s">
        <v>138</v>
      </c>
      <c r="D125" s="1">
        <v>259121312</v>
      </c>
    </row>
    <row r="126" spans="1:4" x14ac:dyDescent="0.25">
      <c r="A126">
        <v>662</v>
      </c>
      <c r="B126" t="s">
        <v>125</v>
      </c>
      <c r="C126" t="s">
        <v>139</v>
      </c>
      <c r="D126" s="1">
        <v>242408105</v>
      </c>
    </row>
    <row r="127" spans="1:4" x14ac:dyDescent="0.25">
      <c r="A127">
        <v>662</v>
      </c>
      <c r="B127" t="s">
        <v>126</v>
      </c>
      <c r="C127" t="s">
        <v>140</v>
      </c>
      <c r="D127" s="1">
        <v>235575978</v>
      </c>
    </row>
    <row r="128" spans="1:4" x14ac:dyDescent="0.25">
      <c r="A128">
        <v>662</v>
      </c>
      <c r="B128" t="s">
        <v>125</v>
      </c>
      <c r="C128" t="s">
        <v>141</v>
      </c>
      <c r="D128" s="1">
        <v>234751099</v>
      </c>
    </row>
    <row r="129" spans="1:4" x14ac:dyDescent="0.25">
      <c r="A129">
        <v>662</v>
      </c>
      <c r="B129" t="s">
        <v>125</v>
      </c>
      <c r="C129" t="s">
        <v>142</v>
      </c>
      <c r="D129" s="1">
        <v>234322913</v>
      </c>
    </row>
    <row r="130" spans="1:4" x14ac:dyDescent="0.25">
      <c r="A130">
        <v>662</v>
      </c>
      <c r="B130" t="s">
        <v>125</v>
      </c>
      <c r="C130" t="s">
        <v>143</v>
      </c>
      <c r="D130" s="1">
        <v>229575375</v>
      </c>
    </row>
    <row r="131" spans="1:4" x14ac:dyDescent="0.25">
      <c r="A131">
        <v>662</v>
      </c>
      <c r="B131" t="s">
        <v>127</v>
      </c>
      <c r="C131" t="s">
        <v>144</v>
      </c>
      <c r="D131" s="1">
        <v>228119310</v>
      </c>
    </row>
    <row r="132" spans="1:4" x14ac:dyDescent="0.25">
      <c r="A132">
        <v>662</v>
      </c>
      <c r="B132" t="s">
        <v>126</v>
      </c>
      <c r="C132" t="s">
        <v>239</v>
      </c>
      <c r="D132" s="1">
        <v>227462468</v>
      </c>
    </row>
    <row r="133" spans="1:4" x14ac:dyDescent="0.25">
      <c r="A133">
        <v>662</v>
      </c>
      <c r="B133" t="s">
        <v>125</v>
      </c>
      <c r="C133" t="s">
        <v>238</v>
      </c>
      <c r="D133" s="1">
        <v>227072291</v>
      </c>
    </row>
    <row r="134" spans="1:4" x14ac:dyDescent="0.25">
      <c r="A134">
        <v>662</v>
      </c>
      <c r="B134" t="s">
        <v>125</v>
      </c>
      <c r="C134" t="s">
        <v>237</v>
      </c>
      <c r="D134" s="1">
        <v>217636116</v>
      </c>
    </row>
    <row r="135" spans="1:4" x14ac:dyDescent="0.25">
      <c r="A135">
        <v>662</v>
      </c>
      <c r="B135" t="s">
        <v>125</v>
      </c>
      <c r="C135" t="s">
        <v>236</v>
      </c>
      <c r="D135" s="1">
        <v>216604177</v>
      </c>
    </row>
    <row r="136" spans="1:4" x14ac:dyDescent="0.25">
      <c r="A136">
        <v>662</v>
      </c>
      <c r="B136" t="s">
        <v>129</v>
      </c>
      <c r="C136" t="s">
        <v>235</v>
      </c>
      <c r="D136" s="1">
        <v>215654050</v>
      </c>
    </row>
    <row r="137" spans="1:4" x14ac:dyDescent="0.25">
      <c r="A137">
        <v>662</v>
      </c>
      <c r="B137" t="s">
        <v>125</v>
      </c>
      <c r="C137" t="s">
        <v>234</v>
      </c>
      <c r="D137" s="1">
        <v>215171059</v>
      </c>
    </row>
    <row r="138" spans="1:4" x14ac:dyDescent="0.25">
      <c r="A138">
        <v>662</v>
      </c>
      <c r="B138" t="s">
        <v>125</v>
      </c>
      <c r="C138" t="s">
        <v>233</v>
      </c>
      <c r="D138" s="1">
        <v>214026458</v>
      </c>
    </row>
    <row r="139" spans="1:4" x14ac:dyDescent="0.25">
      <c r="A139">
        <v>662</v>
      </c>
      <c r="B139" t="s">
        <v>125</v>
      </c>
      <c r="C139" t="s">
        <v>232</v>
      </c>
      <c r="D139" s="1">
        <v>213803186</v>
      </c>
    </row>
    <row r="140" spans="1:4" x14ac:dyDescent="0.25">
      <c r="A140">
        <v>662</v>
      </c>
      <c r="B140" t="s">
        <v>126</v>
      </c>
      <c r="C140" t="s">
        <v>231</v>
      </c>
      <c r="D140" s="1">
        <v>212668250</v>
      </c>
    </row>
    <row r="141" spans="1:4" x14ac:dyDescent="0.25">
      <c r="A141">
        <v>662</v>
      </c>
      <c r="B141" t="s">
        <v>125</v>
      </c>
      <c r="C141" t="s">
        <v>230</v>
      </c>
      <c r="D141" s="1">
        <v>212120906</v>
      </c>
    </row>
    <row r="142" spans="1:4" x14ac:dyDescent="0.25">
      <c r="A142">
        <v>667</v>
      </c>
      <c r="B142" t="s">
        <v>145</v>
      </c>
      <c r="C142" t="s">
        <v>154</v>
      </c>
      <c r="D142" s="1">
        <v>207268769</v>
      </c>
    </row>
    <row r="143" spans="1:4" x14ac:dyDescent="0.25">
      <c r="A143">
        <v>667</v>
      </c>
      <c r="B143" t="s">
        <v>145</v>
      </c>
      <c r="C143" t="s">
        <v>155</v>
      </c>
      <c r="D143" s="1">
        <v>190104782</v>
      </c>
    </row>
    <row r="144" spans="1:4" x14ac:dyDescent="0.25">
      <c r="A144">
        <v>667</v>
      </c>
      <c r="B144" t="s">
        <v>145</v>
      </c>
      <c r="C144" t="s">
        <v>156</v>
      </c>
      <c r="D144" s="1">
        <v>187929964</v>
      </c>
    </row>
    <row r="145" spans="1:4" x14ac:dyDescent="0.25">
      <c r="A145">
        <v>667</v>
      </c>
      <c r="B145" t="s">
        <v>145</v>
      </c>
      <c r="C145" t="s">
        <v>157</v>
      </c>
      <c r="D145" s="1">
        <v>187362826</v>
      </c>
    </row>
    <row r="146" spans="1:4" x14ac:dyDescent="0.25">
      <c r="A146">
        <v>667</v>
      </c>
      <c r="B146" t="s">
        <v>145</v>
      </c>
      <c r="C146" t="s">
        <v>158</v>
      </c>
      <c r="D146" s="1">
        <v>181376848</v>
      </c>
    </row>
    <row r="147" spans="1:4" x14ac:dyDescent="0.25">
      <c r="A147">
        <v>667</v>
      </c>
      <c r="B147" t="s">
        <v>145</v>
      </c>
      <c r="C147" t="s">
        <v>159</v>
      </c>
      <c r="D147" s="1">
        <v>176816773</v>
      </c>
    </row>
    <row r="148" spans="1:4" x14ac:dyDescent="0.25">
      <c r="A148">
        <v>667</v>
      </c>
      <c r="B148" t="s">
        <v>145</v>
      </c>
      <c r="C148" t="s">
        <v>160</v>
      </c>
      <c r="D148" s="1">
        <v>175188387</v>
      </c>
    </row>
    <row r="149" spans="1:4" x14ac:dyDescent="0.25">
      <c r="A149">
        <v>667</v>
      </c>
      <c r="B149" t="s">
        <v>145</v>
      </c>
      <c r="C149" t="s">
        <v>161</v>
      </c>
      <c r="D149" s="1">
        <v>174652476</v>
      </c>
    </row>
    <row r="150" spans="1:4" x14ac:dyDescent="0.25">
      <c r="A150">
        <v>667</v>
      </c>
      <c r="B150" t="s">
        <v>145</v>
      </c>
      <c r="C150" t="s">
        <v>162</v>
      </c>
      <c r="D150" s="1">
        <v>174338569</v>
      </c>
    </row>
    <row r="151" spans="1:4" x14ac:dyDescent="0.25">
      <c r="A151">
        <v>667</v>
      </c>
      <c r="B151" t="s">
        <v>145</v>
      </c>
      <c r="C151" t="s">
        <v>163</v>
      </c>
      <c r="D151" s="1">
        <v>173657902</v>
      </c>
    </row>
    <row r="152" spans="1:4" x14ac:dyDescent="0.25">
      <c r="A152">
        <v>667</v>
      </c>
      <c r="B152" t="s">
        <v>145</v>
      </c>
      <c r="C152" t="s">
        <v>249</v>
      </c>
      <c r="D152" s="1">
        <v>171663149</v>
      </c>
    </row>
    <row r="153" spans="1:4" x14ac:dyDescent="0.25">
      <c r="A153">
        <v>667</v>
      </c>
      <c r="B153" t="s">
        <v>145</v>
      </c>
      <c r="C153" t="s">
        <v>248</v>
      </c>
      <c r="D153" s="1">
        <v>169262202</v>
      </c>
    </row>
    <row r="154" spans="1:4" x14ac:dyDescent="0.25">
      <c r="A154">
        <v>667</v>
      </c>
      <c r="B154" t="s">
        <v>145</v>
      </c>
      <c r="C154" t="s">
        <v>247</v>
      </c>
      <c r="D154" s="1">
        <v>165458912</v>
      </c>
    </row>
    <row r="155" spans="1:4" x14ac:dyDescent="0.25">
      <c r="A155">
        <v>667</v>
      </c>
      <c r="B155" t="s">
        <v>145</v>
      </c>
      <c r="C155" t="s">
        <v>246</v>
      </c>
      <c r="D155" s="1">
        <v>165347053</v>
      </c>
    </row>
    <row r="156" spans="1:4" x14ac:dyDescent="0.25">
      <c r="A156">
        <v>667</v>
      </c>
      <c r="B156" t="s">
        <v>145</v>
      </c>
      <c r="C156" t="s">
        <v>245</v>
      </c>
      <c r="D156" s="1">
        <v>164867696</v>
      </c>
    </row>
    <row r="157" spans="1:4" x14ac:dyDescent="0.25">
      <c r="A157">
        <v>667</v>
      </c>
      <c r="B157" t="s">
        <v>145</v>
      </c>
      <c r="C157" t="s">
        <v>244</v>
      </c>
      <c r="D157" s="1">
        <v>162914811</v>
      </c>
    </row>
    <row r="158" spans="1:4" x14ac:dyDescent="0.25">
      <c r="A158">
        <v>667</v>
      </c>
      <c r="B158" t="s">
        <v>147</v>
      </c>
      <c r="C158" t="s">
        <v>243</v>
      </c>
      <c r="D158" s="1">
        <v>162780902</v>
      </c>
    </row>
    <row r="159" spans="1:4" x14ac:dyDescent="0.25">
      <c r="A159">
        <v>667</v>
      </c>
      <c r="B159" t="s">
        <v>145</v>
      </c>
      <c r="C159" t="s">
        <v>242</v>
      </c>
      <c r="D159" s="1">
        <v>162397595</v>
      </c>
    </row>
    <row r="160" spans="1:4" x14ac:dyDescent="0.25">
      <c r="A160">
        <v>667</v>
      </c>
      <c r="B160" t="s">
        <v>145</v>
      </c>
      <c r="C160" t="s">
        <v>241</v>
      </c>
      <c r="D160" s="1">
        <v>162364687</v>
      </c>
    </row>
    <row r="161" spans="1:4" x14ac:dyDescent="0.25">
      <c r="A161">
        <v>667</v>
      </c>
      <c r="B161" t="s">
        <v>146</v>
      </c>
      <c r="C161" t="s">
        <v>240</v>
      </c>
      <c r="D161" s="1">
        <v>161964392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8066-71A9-42A2-8564-8CD3AE2FF6CB}">
  <dimension ref="A1:AP42"/>
  <sheetViews>
    <sheetView workbookViewId="0">
      <selection activeCell="AJ47" sqref="AJ47"/>
    </sheetView>
  </sheetViews>
  <sheetFormatPr baseColWidth="10" defaultRowHeight="15" x14ac:dyDescent="0.25"/>
  <cols>
    <col min="1" max="1" width="5.85546875" bestFit="1" customWidth="1"/>
    <col min="2" max="2" width="20.85546875" hidden="1" customWidth="1"/>
    <col min="3" max="3" width="19.5703125" hidden="1" customWidth="1"/>
    <col min="4" max="4" width="20.140625" hidden="1" customWidth="1"/>
    <col min="5" max="5" width="20.42578125" hidden="1" customWidth="1"/>
    <col min="6" max="6" width="23.42578125" hidden="1" customWidth="1"/>
    <col min="7" max="7" width="21.42578125" hidden="1" customWidth="1"/>
    <col min="8" max="9" width="18.5703125" hidden="1" customWidth="1"/>
    <col min="10" max="10" width="20.85546875" hidden="1" customWidth="1"/>
    <col min="11" max="13" width="19.5703125" hidden="1" customWidth="1"/>
    <col min="14" max="14" width="19.85546875" hidden="1" customWidth="1"/>
    <col min="15" max="15" width="22.85546875" hidden="1" customWidth="1"/>
    <col min="16" max="16" width="20.7109375" hidden="1" customWidth="1"/>
    <col min="17" max="17" width="18" hidden="1" customWidth="1"/>
    <col min="18" max="18" width="20.28515625" hidden="1" customWidth="1"/>
    <col min="19" max="19" width="19" hidden="1" customWidth="1"/>
    <col min="20" max="20" width="19.5703125" hidden="1" customWidth="1"/>
    <col min="21" max="22" width="19.85546875" hidden="1" customWidth="1"/>
    <col min="23" max="23" width="23.85546875" hidden="1" customWidth="1"/>
    <col min="24" max="24" width="21.85546875" hidden="1" customWidth="1"/>
    <col min="25" max="25" width="19" hidden="1" customWidth="1"/>
    <col min="26" max="26" width="21.42578125" hidden="1" customWidth="1"/>
    <col min="27" max="27" width="20" hidden="1" customWidth="1"/>
    <col min="28" max="28" width="20.5703125" hidden="1" customWidth="1"/>
    <col min="29" max="30" width="20.85546875" hidden="1" customWidth="1"/>
    <col min="31" max="31" width="23.85546875" bestFit="1" customWidth="1"/>
    <col min="32" max="32" width="21.85546875" bestFit="1" customWidth="1"/>
    <col min="33" max="33" width="19" bestFit="1" customWidth="1"/>
    <col min="34" max="34" width="21.42578125" bestFit="1" customWidth="1"/>
    <col min="35" max="35" width="20" bestFit="1" customWidth="1"/>
    <col min="36" max="36" width="20.5703125" bestFit="1" customWidth="1"/>
    <col min="37" max="37" width="20.85546875" bestFit="1" customWidth="1"/>
    <col min="38" max="38" width="23.85546875" bestFit="1" customWidth="1"/>
    <col min="39" max="39" width="21.85546875" bestFit="1" customWidth="1"/>
    <col min="40" max="40" width="19" bestFit="1" customWidth="1"/>
    <col min="41" max="41" width="21.42578125" bestFit="1" customWidth="1"/>
    <col min="42" max="42" width="20" bestFit="1" customWidth="1"/>
  </cols>
  <sheetData>
    <row r="1" spans="1:42" x14ac:dyDescent="0.25">
      <c r="B1" s="25">
        <v>46165</v>
      </c>
      <c r="C1" s="24">
        <v>46166</v>
      </c>
      <c r="D1" s="24">
        <v>46167</v>
      </c>
      <c r="E1" s="24">
        <v>46168</v>
      </c>
      <c r="F1" s="25">
        <v>46169</v>
      </c>
      <c r="G1" s="24">
        <v>46170</v>
      </c>
      <c r="H1" s="26">
        <v>46171</v>
      </c>
      <c r="I1" s="26">
        <v>46171</v>
      </c>
      <c r="J1" s="25">
        <v>46172</v>
      </c>
      <c r="K1" s="24">
        <v>46173</v>
      </c>
      <c r="L1" s="24">
        <v>46174</v>
      </c>
      <c r="M1" s="24">
        <v>46174</v>
      </c>
      <c r="N1" s="24">
        <v>46175</v>
      </c>
      <c r="O1" s="25">
        <v>46176</v>
      </c>
      <c r="P1" s="24">
        <v>46177</v>
      </c>
      <c r="Q1" s="24">
        <v>46178</v>
      </c>
      <c r="R1" s="25">
        <v>46179</v>
      </c>
      <c r="S1" s="24">
        <v>46180</v>
      </c>
      <c r="T1" s="24">
        <v>46181</v>
      </c>
      <c r="U1" s="26">
        <v>46182</v>
      </c>
      <c r="V1" s="26">
        <v>46182</v>
      </c>
      <c r="W1" s="25">
        <v>46183</v>
      </c>
      <c r="X1" s="24">
        <v>46184</v>
      </c>
      <c r="Y1" s="24">
        <v>46185</v>
      </c>
      <c r="Z1" s="25">
        <v>46186</v>
      </c>
      <c r="AA1" s="24">
        <v>46187</v>
      </c>
      <c r="AB1" s="24">
        <v>46188</v>
      </c>
      <c r="AC1" s="26">
        <v>46189</v>
      </c>
      <c r="AD1" s="26">
        <v>46189</v>
      </c>
      <c r="AE1" s="25">
        <v>46190</v>
      </c>
      <c r="AF1" s="24">
        <v>46191</v>
      </c>
      <c r="AG1" s="24">
        <v>46192</v>
      </c>
      <c r="AH1" s="25">
        <v>46193</v>
      </c>
      <c r="AI1" s="24">
        <v>46194</v>
      </c>
      <c r="AJ1" s="24">
        <v>46195</v>
      </c>
      <c r="AK1" s="24">
        <v>46196</v>
      </c>
      <c r="AL1" s="25">
        <v>46197</v>
      </c>
      <c r="AM1" s="24">
        <v>46198</v>
      </c>
      <c r="AN1" s="24">
        <v>46199</v>
      </c>
      <c r="AO1" s="25">
        <v>46200</v>
      </c>
      <c r="AP1" s="24">
        <v>46201</v>
      </c>
    </row>
    <row r="2" spans="1:42" s="20" customFormat="1" x14ac:dyDescent="0.25">
      <c r="A2" s="19">
        <v>638</v>
      </c>
      <c r="E2" s="20" t="s">
        <v>282</v>
      </c>
      <c r="G2" s="20" t="s">
        <v>283</v>
      </c>
      <c r="H2" s="20" t="s">
        <v>284</v>
      </c>
      <c r="I2" s="20" t="s">
        <v>285</v>
      </c>
      <c r="J2" s="20" t="s">
        <v>286</v>
      </c>
      <c r="K2" s="20" t="s">
        <v>287</v>
      </c>
      <c r="L2" s="20" t="s">
        <v>288</v>
      </c>
      <c r="M2" s="20" t="s">
        <v>292</v>
      </c>
      <c r="N2" s="20" t="s">
        <v>295</v>
      </c>
      <c r="O2" s="20" t="s">
        <v>296</v>
      </c>
      <c r="P2" s="20" t="s">
        <v>297</v>
      </c>
      <c r="Q2" s="20" t="s">
        <v>298</v>
      </c>
      <c r="R2" s="20" t="s">
        <v>299</v>
      </c>
      <c r="S2" s="20" t="s">
        <v>300</v>
      </c>
      <c r="T2" s="20" t="s">
        <v>296</v>
      </c>
      <c r="U2" s="20" t="s">
        <v>316</v>
      </c>
      <c r="V2" s="20" t="s">
        <v>318</v>
      </c>
      <c r="W2" s="20" t="s">
        <v>319</v>
      </c>
      <c r="X2" s="20" t="s">
        <v>325</v>
      </c>
      <c r="Y2" s="20" t="s">
        <v>326</v>
      </c>
      <c r="Z2" s="20" t="s">
        <v>327</v>
      </c>
      <c r="AA2" s="20" t="s">
        <v>331</v>
      </c>
      <c r="AB2" s="20" t="s">
        <v>332</v>
      </c>
      <c r="AC2" s="20" t="s">
        <v>283</v>
      </c>
      <c r="AD2" s="20" t="s">
        <v>335</v>
      </c>
      <c r="AE2" s="20" t="s">
        <v>284</v>
      </c>
      <c r="AF2" s="20" t="s">
        <v>341</v>
      </c>
      <c r="AG2" s="20" t="s">
        <v>344</v>
      </c>
      <c r="AH2" s="20" t="s">
        <v>348</v>
      </c>
      <c r="AI2" s="20" t="s">
        <v>349</v>
      </c>
      <c r="AJ2" s="20" t="s">
        <v>331</v>
      </c>
      <c r="AK2" s="20" t="s">
        <v>350</v>
      </c>
      <c r="AL2" s="20" t="s">
        <v>349</v>
      </c>
    </row>
    <row r="3" spans="1:42" x14ac:dyDescent="0.25">
      <c r="A3" t="s">
        <v>262</v>
      </c>
      <c r="B3" s="15" t="s">
        <v>108</v>
      </c>
      <c r="C3" s="22" t="s">
        <v>114</v>
      </c>
      <c r="D3" t="s">
        <v>114</v>
      </c>
      <c r="E3" t="s">
        <v>114</v>
      </c>
      <c r="F3" s="15" t="s">
        <v>114</v>
      </c>
      <c r="H3" s="27"/>
      <c r="I3" s="27"/>
      <c r="J3" s="15"/>
      <c r="K3" s="22" t="s">
        <v>108</v>
      </c>
      <c r="L3" s="27" t="s">
        <v>108</v>
      </c>
      <c r="M3" s="27" t="s">
        <v>108</v>
      </c>
      <c r="N3" t="s">
        <v>108</v>
      </c>
      <c r="O3" s="15" t="s">
        <v>108</v>
      </c>
      <c r="P3" s="22" t="s">
        <v>106</v>
      </c>
      <c r="Q3" t="s">
        <v>106</v>
      </c>
      <c r="R3" s="15" t="s">
        <v>106</v>
      </c>
      <c r="S3" t="s">
        <v>106</v>
      </c>
      <c r="T3" t="s">
        <v>106</v>
      </c>
      <c r="U3" s="27" t="s">
        <v>106</v>
      </c>
      <c r="V3" s="27" t="s">
        <v>106</v>
      </c>
      <c r="W3" s="15" t="s">
        <v>106</v>
      </c>
      <c r="X3" t="s">
        <v>106</v>
      </c>
      <c r="Y3" s="23" t="s">
        <v>271</v>
      </c>
      <c r="Z3" s="30" t="s">
        <v>108</v>
      </c>
      <c r="AA3" t="s">
        <v>108</v>
      </c>
      <c r="AB3" t="s">
        <v>108</v>
      </c>
      <c r="AC3" s="27" t="s">
        <v>108</v>
      </c>
      <c r="AD3" s="27" t="s">
        <v>108</v>
      </c>
      <c r="AE3" s="15" t="s">
        <v>108</v>
      </c>
      <c r="AF3" t="s">
        <v>108</v>
      </c>
      <c r="AG3" t="s">
        <v>108</v>
      </c>
      <c r="AH3" s="15" t="s">
        <v>108</v>
      </c>
      <c r="AI3" t="s">
        <v>108</v>
      </c>
      <c r="AJ3" t="s">
        <v>108</v>
      </c>
      <c r="AK3" s="22" t="s">
        <v>112</v>
      </c>
      <c r="AL3" s="15" t="s">
        <v>112</v>
      </c>
      <c r="AO3" s="15"/>
    </row>
    <row r="4" spans="1:42" x14ac:dyDescent="0.25">
      <c r="A4" t="s">
        <v>106</v>
      </c>
      <c r="B4" s="15" t="s">
        <v>110</v>
      </c>
      <c r="C4" s="23" t="s">
        <v>271</v>
      </c>
      <c r="D4" s="22" t="s">
        <v>107</v>
      </c>
      <c r="E4" t="s">
        <v>107</v>
      </c>
      <c r="F4" s="15" t="s">
        <v>107</v>
      </c>
      <c r="G4" t="s">
        <v>107</v>
      </c>
      <c r="H4" s="27"/>
      <c r="I4" s="28" t="s">
        <v>110</v>
      </c>
      <c r="J4" s="15" t="s">
        <v>110</v>
      </c>
      <c r="K4" t="s">
        <v>110</v>
      </c>
      <c r="L4" s="27" t="s">
        <v>110</v>
      </c>
      <c r="M4" s="27" t="s">
        <v>110</v>
      </c>
      <c r="N4" t="s">
        <v>110</v>
      </c>
      <c r="O4" s="15" t="s">
        <v>110</v>
      </c>
      <c r="P4" s="23" t="s">
        <v>271</v>
      </c>
      <c r="R4" s="15"/>
      <c r="U4" s="27"/>
      <c r="V4" s="27"/>
      <c r="W4" s="15"/>
      <c r="Z4" s="30" t="s">
        <v>110</v>
      </c>
      <c r="AA4" t="s">
        <v>110</v>
      </c>
      <c r="AB4" t="s">
        <v>110</v>
      </c>
      <c r="AC4" s="27" t="s">
        <v>110</v>
      </c>
      <c r="AD4" s="27" t="s">
        <v>110</v>
      </c>
      <c r="AE4" s="15" t="s">
        <v>110</v>
      </c>
      <c r="AF4" t="s">
        <v>110</v>
      </c>
      <c r="AG4" s="22" t="s">
        <v>109</v>
      </c>
      <c r="AH4" s="15" t="s">
        <v>109</v>
      </c>
      <c r="AI4" t="s">
        <v>109</v>
      </c>
      <c r="AJ4" t="s">
        <v>109</v>
      </c>
      <c r="AK4" t="s">
        <v>109</v>
      </c>
      <c r="AL4" s="15" t="s">
        <v>109</v>
      </c>
      <c r="AO4" s="15"/>
    </row>
    <row r="5" spans="1:42" x14ac:dyDescent="0.25">
      <c r="A5" t="s">
        <v>110</v>
      </c>
      <c r="B5" s="15"/>
      <c r="C5" s="23"/>
      <c r="D5" s="22"/>
      <c r="F5" s="15"/>
      <c r="H5" s="27"/>
      <c r="I5" s="28"/>
      <c r="J5" s="15"/>
      <c r="L5" s="27"/>
      <c r="M5" s="27"/>
      <c r="O5" s="15"/>
      <c r="R5" s="15"/>
      <c r="U5" s="27"/>
      <c r="V5" s="27"/>
      <c r="W5" s="15"/>
      <c r="Z5" s="15"/>
      <c r="AC5" s="27"/>
      <c r="AD5" s="27"/>
      <c r="AE5" s="15"/>
      <c r="AG5" s="22" t="s">
        <v>107</v>
      </c>
      <c r="AH5" s="15" t="s">
        <v>107</v>
      </c>
      <c r="AI5" t="s">
        <v>107</v>
      </c>
      <c r="AJ5" s="23" t="s">
        <v>271</v>
      </c>
      <c r="AL5" s="15"/>
      <c r="AO5" s="15"/>
    </row>
    <row r="6" spans="1:42" x14ac:dyDescent="0.25">
      <c r="A6" t="s">
        <v>108</v>
      </c>
      <c r="B6" s="15"/>
      <c r="C6" s="23"/>
      <c r="D6" s="22"/>
      <c r="F6" s="15"/>
      <c r="G6" s="22" t="s">
        <v>281</v>
      </c>
      <c r="H6" s="27" t="s">
        <v>281</v>
      </c>
      <c r="I6" s="27" t="s">
        <v>281</v>
      </c>
      <c r="J6" s="15" t="s">
        <v>281</v>
      </c>
      <c r="L6" s="27"/>
      <c r="M6" s="27"/>
      <c r="O6" s="15"/>
      <c r="Q6" s="22" t="s">
        <v>114</v>
      </c>
      <c r="R6" s="15" t="s">
        <v>114</v>
      </c>
      <c r="S6" t="s">
        <v>114</v>
      </c>
      <c r="T6" t="s">
        <v>114</v>
      </c>
      <c r="U6" s="27" t="s">
        <v>114</v>
      </c>
      <c r="V6" s="27" t="s">
        <v>114</v>
      </c>
      <c r="W6" s="30" t="s">
        <v>110</v>
      </c>
      <c r="X6" t="s">
        <v>110</v>
      </c>
      <c r="Y6" t="s">
        <v>110</v>
      </c>
      <c r="Z6" s="15"/>
      <c r="AC6" s="27"/>
      <c r="AD6" s="27"/>
      <c r="AE6" s="15"/>
      <c r="AH6" s="15"/>
      <c r="AL6" s="30" t="s">
        <v>114</v>
      </c>
      <c r="AO6" s="15"/>
    </row>
    <row r="7" spans="1:42" ht="14.25" customHeight="1" x14ac:dyDescent="0.25">
      <c r="A7" t="s">
        <v>107</v>
      </c>
      <c r="B7" s="15"/>
      <c r="D7" s="22"/>
      <c r="F7" s="15"/>
      <c r="H7" s="28" t="s">
        <v>109</v>
      </c>
      <c r="I7" s="27" t="s">
        <v>109</v>
      </c>
      <c r="J7" s="15" t="s">
        <v>109</v>
      </c>
      <c r="K7" t="s">
        <v>109</v>
      </c>
      <c r="L7" s="27" t="s">
        <v>109</v>
      </c>
      <c r="M7" s="27" t="s">
        <v>109</v>
      </c>
      <c r="N7" t="s">
        <v>109</v>
      </c>
      <c r="O7" s="15" t="s">
        <v>109</v>
      </c>
      <c r="P7" t="s">
        <v>109</v>
      </c>
      <c r="Q7" t="s">
        <v>109</v>
      </c>
      <c r="R7" s="15" t="s">
        <v>109</v>
      </c>
      <c r="S7" t="s">
        <v>109</v>
      </c>
      <c r="T7" t="s">
        <v>109</v>
      </c>
      <c r="U7" s="27" t="s">
        <v>109</v>
      </c>
      <c r="V7" s="27" t="s">
        <v>109</v>
      </c>
      <c r="W7" s="15" t="s">
        <v>109</v>
      </c>
      <c r="X7" t="s">
        <v>109</v>
      </c>
      <c r="Y7" t="s">
        <v>109</v>
      </c>
      <c r="Z7" s="15" t="s">
        <v>109</v>
      </c>
      <c r="AA7" t="s">
        <v>109</v>
      </c>
      <c r="AB7" t="s">
        <v>109</v>
      </c>
      <c r="AC7" s="27" t="s">
        <v>109</v>
      </c>
      <c r="AD7" s="27" t="s">
        <v>109</v>
      </c>
      <c r="AE7" s="15" t="s">
        <v>109</v>
      </c>
      <c r="AF7" t="s">
        <v>109</v>
      </c>
      <c r="AH7" s="15"/>
      <c r="AL7" s="15"/>
      <c r="AO7" s="15"/>
    </row>
    <row r="8" spans="1:42" x14ac:dyDescent="0.25">
      <c r="A8" t="s">
        <v>109</v>
      </c>
      <c r="B8" s="15"/>
      <c r="C8" s="22" t="s">
        <v>110</v>
      </c>
      <c r="D8" t="s">
        <v>110</v>
      </c>
      <c r="E8" t="s">
        <v>110</v>
      </c>
      <c r="F8" s="15" t="s">
        <v>110</v>
      </c>
      <c r="H8" s="27"/>
      <c r="I8" s="27"/>
      <c r="J8" s="15"/>
      <c r="L8" s="27"/>
      <c r="M8" s="27"/>
      <c r="O8" s="15"/>
      <c r="R8" s="15"/>
      <c r="U8" s="27"/>
      <c r="V8" s="27"/>
      <c r="W8" s="15"/>
      <c r="Z8" s="15"/>
      <c r="AC8" s="27"/>
      <c r="AD8" s="27"/>
      <c r="AE8" s="15"/>
      <c r="AH8" s="15"/>
      <c r="AL8" s="15"/>
      <c r="AO8" s="15"/>
    </row>
    <row r="9" spans="1:42" x14ac:dyDescent="0.25">
      <c r="A9" t="s">
        <v>111</v>
      </c>
      <c r="B9" s="15"/>
      <c r="F9" s="15"/>
      <c r="H9" s="27"/>
      <c r="I9" s="27"/>
      <c r="J9" s="15"/>
      <c r="L9" s="27"/>
      <c r="M9" s="27"/>
      <c r="O9" s="15"/>
      <c r="R9" s="15"/>
      <c r="U9" s="27"/>
      <c r="V9" s="27"/>
      <c r="W9" s="15"/>
      <c r="Z9" s="15"/>
      <c r="AC9" s="27"/>
      <c r="AD9" s="27"/>
      <c r="AE9" s="15"/>
      <c r="AH9" s="15"/>
      <c r="AL9" s="15"/>
      <c r="AO9" s="15"/>
    </row>
    <row r="10" spans="1:42" x14ac:dyDescent="0.25">
      <c r="A10" t="s">
        <v>113</v>
      </c>
      <c r="B10" s="15"/>
      <c r="C10" s="22" t="s">
        <v>273</v>
      </c>
      <c r="D10" t="s">
        <v>273</v>
      </c>
      <c r="E10" t="s">
        <v>273</v>
      </c>
      <c r="F10" s="15" t="s">
        <v>273</v>
      </c>
      <c r="G10" t="s">
        <v>273</v>
      </c>
      <c r="H10" s="27" t="s">
        <v>273</v>
      </c>
      <c r="I10" s="27" t="s">
        <v>273</v>
      </c>
      <c r="J10" s="15" t="s">
        <v>273</v>
      </c>
      <c r="K10" t="s">
        <v>273</v>
      </c>
      <c r="L10" s="27" t="s">
        <v>273</v>
      </c>
      <c r="M10" s="27" t="s">
        <v>273</v>
      </c>
      <c r="N10" t="s">
        <v>273</v>
      </c>
      <c r="O10" s="15" t="s">
        <v>273</v>
      </c>
      <c r="P10" t="s">
        <v>273</v>
      </c>
      <c r="Q10" t="s">
        <v>273</v>
      </c>
      <c r="R10" s="15" t="s">
        <v>273</v>
      </c>
      <c r="S10" t="s">
        <v>273</v>
      </c>
      <c r="T10" t="s">
        <v>273</v>
      </c>
      <c r="U10" s="27" t="s">
        <v>273</v>
      </c>
      <c r="V10" s="27" t="s">
        <v>273</v>
      </c>
      <c r="W10" s="15" t="s">
        <v>273</v>
      </c>
      <c r="X10" t="s">
        <v>273</v>
      </c>
      <c r="Y10" t="s">
        <v>273</v>
      </c>
      <c r="Z10" s="15" t="s">
        <v>273</v>
      </c>
      <c r="AA10" t="s">
        <v>273</v>
      </c>
      <c r="AB10" t="s">
        <v>273</v>
      </c>
      <c r="AC10" s="27" t="s">
        <v>273</v>
      </c>
      <c r="AD10" s="27" t="s">
        <v>273</v>
      </c>
      <c r="AE10" s="15" t="s">
        <v>273</v>
      </c>
      <c r="AF10" s="23" t="s">
        <v>271</v>
      </c>
      <c r="AH10" s="15"/>
      <c r="AI10" s="22" t="s">
        <v>111</v>
      </c>
      <c r="AJ10" t="s">
        <v>111</v>
      </c>
      <c r="AK10" s="23" t="s">
        <v>271</v>
      </c>
      <c r="AL10" s="15"/>
      <c r="AO10" s="15"/>
    </row>
    <row r="11" spans="1:42" x14ac:dyDescent="0.25">
      <c r="A11" t="s">
        <v>112</v>
      </c>
      <c r="B11" s="15"/>
      <c r="F11" s="15"/>
      <c r="H11" s="27"/>
      <c r="I11" s="28" t="s">
        <v>114</v>
      </c>
      <c r="J11" s="15" t="s">
        <v>114</v>
      </c>
      <c r="K11" t="s">
        <v>114</v>
      </c>
      <c r="L11" s="27" t="s">
        <v>114</v>
      </c>
      <c r="M11" s="27" t="s">
        <v>114</v>
      </c>
      <c r="N11" t="s">
        <v>114</v>
      </c>
      <c r="O11" s="15" t="s">
        <v>114</v>
      </c>
      <c r="P11" t="s">
        <v>114</v>
      </c>
      <c r="Q11" s="23" t="s">
        <v>271</v>
      </c>
      <c r="R11" s="15"/>
      <c r="U11" s="27"/>
      <c r="V11" s="27"/>
      <c r="W11" s="30" t="s">
        <v>114</v>
      </c>
      <c r="X11" t="s">
        <v>114</v>
      </c>
      <c r="Y11" t="s">
        <v>114</v>
      </c>
      <c r="Z11" s="15" t="s">
        <v>114</v>
      </c>
      <c r="AA11" t="s">
        <v>114</v>
      </c>
      <c r="AB11" t="s">
        <v>114</v>
      </c>
      <c r="AC11" s="27" t="s">
        <v>114</v>
      </c>
      <c r="AD11" s="27" t="s">
        <v>114</v>
      </c>
      <c r="AE11" s="15" t="s">
        <v>114</v>
      </c>
      <c r="AF11" t="s">
        <v>114</v>
      </c>
      <c r="AG11" t="s">
        <v>114</v>
      </c>
      <c r="AH11" s="15" t="s">
        <v>114</v>
      </c>
      <c r="AI11" t="s">
        <v>114</v>
      </c>
      <c r="AJ11" t="s">
        <v>114</v>
      </c>
      <c r="AK11" s="23" t="s">
        <v>271</v>
      </c>
      <c r="AL11" s="15"/>
      <c r="AO11" s="15"/>
    </row>
    <row r="12" spans="1:42" x14ac:dyDescent="0.25">
      <c r="A12" t="s">
        <v>272</v>
      </c>
      <c r="B12" s="15"/>
      <c r="C12" s="22" t="s">
        <v>108</v>
      </c>
      <c r="D12" t="s">
        <v>108</v>
      </c>
      <c r="E12" t="s">
        <v>108</v>
      </c>
      <c r="F12" s="15" t="s">
        <v>108</v>
      </c>
      <c r="H12" s="27"/>
      <c r="I12" s="27"/>
      <c r="J12" s="15"/>
      <c r="L12" s="27"/>
      <c r="M12" s="28" t="s">
        <v>293</v>
      </c>
      <c r="N12" t="s">
        <v>293</v>
      </c>
      <c r="O12" s="15" t="s">
        <v>293</v>
      </c>
      <c r="P12" t="s">
        <v>293</v>
      </c>
      <c r="Q12" t="s">
        <v>293</v>
      </c>
      <c r="R12" s="15" t="s">
        <v>293</v>
      </c>
      <c r="S12" t="s">
        <v>293</v>
      </c>
      <c r="T12" s="23" t="s">
        <v>271</v>
      </c>
      <c r="U12" s="28" t="s">
        <v>317</v>
      </c>
      <c r="V12" s="27" t="s">
        <v>317</v>
      </c>
      <c r="W12" s="15" t="s">
        <v>317</v>
      </c>
      <c r="X12" t="s">
        <v>317</v>
      </c>
      <c r="Y12" t="s">
        <v>317</v>
      </c>
      <c r="Z12" s="15" t="s">
        <v>317</v>
      </c>
      <c r="AA12" t="s">
        <v>317</v>
      </c>
      <c r="AB12" t="s">
        <v>317</v>
      </c>
      <c r="AC12" s="27" t="s">
        <v>317</v>
      </c>
      <c r="AD12" s="31" t="s">
        <v>271</v>
      </c>
      <c r="AE12" s="15"/>
      <c r="AF12" s="22" t="s">
        <v>328</v>
      </c>
      <c r="AG12" t="s">
        <v>328</v>
      </c>
      <c r="AH12" s="15" t="s">
        <v>328</v>
      </c>
      <c r="AI12" s="23" t="s">
        <v>271</v>
      </c>
      <c r="AJ12" s="22" t="s">
        <v>328</v>
      </c>
      <c r="AK12" t="s">
        <v>328</v>
      </c>
      <c r="AL12" s="15" t="s">
        <v>328</v>
      </c>
      <c r="AO12" s="15"/>
    </row>
    <row r="13" spans="1:42" s="20" customFormat="1" x14ac:dyDescent="0.25">
      <c r="A13" s="19">
        <v>662</v>
      </c>
      <c r="C13" s="21"/>
    </row>
    <row r="14" spans="1:42" x14ac:dyDescent="0.25">
      <c r="A14" t="s">
        <v>125</v>
      </c>
      <c r="B14" s="15" t="s">
        <v>126</v>
      </c>
      <c r="C14" t="s">
        <v>126</v>
      </c>
      <c r="D14" t="s">
        <v>126</v>
      </c>
      <c r="E14" s="22" t="s">
        <v>265</v>
      </c>
      <c r="F14" s="15" t="s">
        <v>265</v>
      </c>
      <c r="G14" t="s">
        <v>265</v>
      </c>
      <c r="H14" s="27" t="s">
        <v>265</v>
      </c>
      <c r="I14" s="27" t="s">
        <v>265</v>
      </c>
      <c r="J14" s="15" t="s">
        <v>265</v>
      </c>
      <c r="K14" t="s">
        <v>265</v>
      </c>
      <c r="L14" s="27" t="s">
        <v>265</v>
      </c>
      <c r="M14" s="27" t="s">
        <v>265</v>
      </c>
      <c r="N14" t="s">
        <v>265</v>
      </c>
      <c r="O14" s="15" t="s">
        <v>265</v>
      </c>
      <c r="P14" t="s">
        <v>265</v>
      </c>
      <c r="Q14" t="s">
        <v>265</v>
      </c>
      <c r="R14" s="30" t="s">
        <v>274</v>
      </c>
      <c r="S14" t="s">
        <v>274</v>
      </c>
      <c r="T14" t="s">
        <v>274</v>
      </c>
      <c r="U14" s="28" t="s">
        <v>265</v>
      </c>
      <c r="V14" s="27" t="s">
        <v>265</v>
      </c>
      <c r="W14" s="15" t="s">
        <v>265</v>
      </c>
      <c r="X14" t="s">
        <v>265</v>
      </c>
      <c r="Y14" t="s">
        <v>265</v>
      </c>
      <c r="Z14" s="15" t="s">
        <v>265</v>
      </c>
      <c r="AA14" t="s">
        <v>265</v>
      </c>
      <c r="AB14" t="s">
        <v>265</v>
      </c>
      <c r="AC14" s="28" t="s">
        <v>334</v>
      </c>
      <c r="AD14" s="27" t="s">
        <v>334</v>
      </c>
      <c r="AE14" s="15" t="s">
        <v>334</v>
      </c>
      <c r="AF14" t="s">
        <v>334</v>
      </c>
      <c r="AG14" t="s">
        <v>334</v>
      </c>
      <c r="AH14" s="15" t="s">
        <v>334</v>
      </c>
      <c r="AI14" t="s">
        <v>334</v>
      </c>
      <c r="AJ14" t="s">
        <v>334</v>
      </c>
      <c r="AK14" s="52" t="s">
        <v>265</v>
      </c>
      <c r="AL14" s="15" t="s">
        <v>265</v>
      </c>
      <c r="AO14" s="15"/>
    </row>
    <row r="15" spans="1:42" x14ac:dyDescent="0.25">
      <c r="A15" t="s">
        <v>126</v>
      </c>
      <c r="B15" s="15"/>
      <c r="E15" s="22"/>
      <c r="F15" s="15"/>
      <c r="H15" s="27"/>
      <c r="I15" s="27"/>
      <c r="J15" s="15"/>
      <c r="L15" s="28" t="s">
        <v>289</v>
      </c>
      <c r="M15" s="27" t="s">
        <v>289</v>
      </c>
      <c r="N15" t="s">
        <v>289</v>
      </c>
      <c r="O15" s="15" t="s">
        <v>289</v>
      </c>
      <c r="P15" t="s">
        <v>289</v>
      </c>
      <c r="Q15" t="s">
        <v>289</v>
      </c>
      <c r="R15" s="15" t="s">
        <v>289</v>
      </c>
      <c r="S15" t="s">
        <v>289</v>
      </c>
      <c r="T15" t="s">
        <v>289</v>
      </c>
      <c r="U15" s="27" t="s">
        <v>289</v>
      </c>
      <c r="V15" s="27" t="s">
        <v>289</v>
      </c>
      <c r="W15" s="30" t="s">
        <v>129</v>
      </c>
      <c r="X15" t="s">
        <v>129</v>
      </c>
      <c r="Y15" t="s">
        <v>129</v>
      </c>
      <c r="Z15" s="30" t="s">
        <v>328</v>
      </c>
      <c r="AA15" t="s">
        <v>328</v>
      </c>
      <c r="AB15" t="s">
        <v>328</v>
      </c>
      <c r="AC15" s="31" t="s">
        <v>271</v>
      </c>
      <c r="AD15" s="31"/>
      <c r="AE15" s="15"/>
      <c r="AH15" s="15"/>
      <c r="AK15" s="52" t="s">
        <v>130</v>
      </c>
      <c r="AL15" s="15" t="s">
        <v>130</v>
      </c>
      <c r="AO15" s="15"/>
    </row>
    <row r="16" spans="1:42" x14ac:dyDescent="0.25">
      <c r="A16" t="s">
        <v>127</v>
      </c>
      <c r="B16" s="15" t="s">
        <v>128</v>
      </c>
      <c r="C16" t="s">
        <v>128</v>
      </c>
      <c r="D16" t="s">
        <v>128</v>
      </c>
      <c r="E16" s="22" t="s">
        <v>263</v>
      </c>
      <c r="F16" s="15" t="s">
        <v>263</v>
      </c>
      <c r="G16" t="s">
        <v>263</v>
      </c>
      <c r="H16" s="27" t="s">
        <v>263</v>
      </c>
      <c r="I16" s="27" t="s">
        <v>263</v>
      </c>
      <c r="J16" s="15" t="s">
        <v>263</v>
      </c>
      <c r="K16" t="s">
        <v>263</v>
      </c>
      <c r="L16" s="27" t="s">
        <v>263</v>
      </c>
      <c r="M16" s="27" t="s">
        <v>263</v>
      </c>
      <c r="N16" t="s">
        <v>263</v>
      </c>
      <c r="O16" s="15" t="s">
        <v>263</v>
      </c>
      <c r="P16" s="23" t="s">
        <v>271</v>
      </c>
      <c r="R16" s="15"/>
      <c r="U16" s="27"/>
      <c r="V16" s="27"/>
      <c r="W16" s="15"/>
      <c r="Z16" s="15"/>
      <c r="AC16" s="27"/>
      <c r="AD16" s="28" t="s">
        <v>265</v>
      </c>
      <c r="AE16" s="15" t="s">
        <v>265</v>
      </c>
      <c r="AF16" t="s">
        <v>265</v>
      </c>
      <c r="AG16" t="s">
        <v>265</v>
      </c>
      <c r="AH16" s="15" t="s">
        <v>265</v>
      </c>
      <c r="AI16" t="s">
        <v>265</v>
      </c>
      <c r="AJ16" t="s">
        <v>265</v>
      </c>
      <c r="AK16" s="23" t="s">
        <v>271</v>
      </c>
      <c r="AL16" s="15"/>
      <c r="AO16" s="15"/>
    </row>
    <row r="17" spans="1:41" x14ac:dyDescent="0.25">
      <c r="A17" t="s">
        <v>129</v>
      </c>
      <c r="B17" s="15" t="s">
        <v>263</v>
      </c>
      <c r="C17" t="s">
        <v>263</v>
      </c>
      <c r="D17" s="23" t="s">
        <v>271</v>
      </c>
      <c r="E17" s="22" t="s">
        <v>126</v>
      </c>
      <c r="F17" s="15" t="s">
        <v>126</v>
      </c>
      <c r="G17" t="s">
        <v>126</v>
      </c>
      <c r="H17" s="27" t="s">
        <v>126</v>
      </c>
      <c r="I17" s="27" t="s">
        <v>126</v>
      </c>
      <c r="J17" s="15" t="s">
        <v>126</v>
      </c>
      <c r="K17" t="s">
        <v>126</v>
      </c>
      <c r="L17" s="28" t="s">
        <v>128</v>
      </c>
      <c r="M17" s="27" t="s">
        <v>128</v>
      </c>
      <c r="N17" t="s">
        <v>128</v>
      </c>
      <c r="O17" s="15" t="s">
        <v>128</v>
      </c>
      <c r="P17" t="s">
        <v>128</v>
      </c>
      <c r="Q17" t="s">
        <v>128</v>
      </c>
      <c r="R17" s="15" t="s">
        <v>128</v>
      </c>
      <c r="S17" t="s">
        <v>128</v>
      </c>
      <c r="T17" t="s">
        <v>128</v>
      </c>
      <c r="U17" s="27" t="s">
        <v>128</v>
      </c>
      <c r="V17" s="27"/>
      <c r="W17" s="15"/>
      <c r="Z17" s="15"/>
      <c r="AC17" s="27"/>
      <c r="AD17" s="28" t="s">
        <v>132</v>
      </c>
      <c r="AE17" s="15" t="s">
        <v>132</v>
      </c>
      <c r="AF17" s="23" t="s">
        <v>271</v>
      </c>
      <c r="AH17" s="15"/>
      <c r="AL17" s="15"/>
      <c r="AO17" s="15"/>
    </row>
    <row r="18" spans="1:41" x14ac:dyDescent="0.25">
      <c r="A18" t="s">
        <v>128</v>
      </c>
      <c r="B18" s="15"/>
      <c r="D18" s="23"/>
      <c r="E18" s="22"/>
      <c r="F18" s="15"/>
      <c r="G18" s="22" t="s">
        <v>279</v>
      </c>
      <c r="H18" s="29" t="s">
        <v>271</v>
      </c>
      <c r="I18" s="29"/>
      <c r="J18" s="15"/>
      <c r="L18" s="27"/>
      <c r="M18" s="27"/>
      <c r="O18" s="15"/>
      <c r="R18" s="15"/>
      <c r="U18" s="27"/>
      <c r="V18" s="28" t="s">
        <v>291</v>
      </c>
      <c r="W18" s="15" t="s">
        <v>291</v>
      </c>
      <c r="X18" t="s">
        <v>291</v>
      </c>
      <c r="Y18" t="s">
        <v>291</v>
      </c>
      <c r="Z18" s="15" t="s">
        <v>291</v>
      </c>
      <c r="AA18" s="44" t="s">
        <v>271</v>
      </c>
      <c r="AC18" s="27"/>
      <c r="AD18" s="27"/>
      <c r="AE18" s="30" t="s">
        <v>289</v>
      </c>
      <c r="AF18" t="s">
        <v>289</v>
      </c>
      <c r="AG18" t="s">
        <v>289</v>
      </c>
      <c r="AH18" s="15" t="s">
        <v>289</v>
      </c>
      <c r="AI18" t="s">
        <v>289</v>
      </c>
      <c r="AJ18" t="s">
        <v>289</v>
      </c>
      <c r="AK18" t="s">
        <v>289</v>
      </c>
      <c r="AL18" s="15" t="s">
        <v>289</v>
      </c>
      <c r="AO18" s="15"/>
    </row>
    <row r="19" spans="1:41" x14ac:dyDescent="0.25">
      <c r="A19" t="s">
        <v>131</v>
      </c>
      <c r="B19" s="15" t="s">
        <v>265</v>
      </c>
      <c r="C19" t="s">
        <v>265</v>
      </c>
      <c r="D19" t="s">
        <v>265</v>
      </c>
      <c r="E19" s="23" t="s">
        <v>271</v>
      </c>
      <c r="F19" s="15" t="s">
        <v>271</v>
      </c>
      <c r="G19" s="22" t="s">
        <v>280</v>
      </c>
      <c r="H19" s="27" t="s">
        <v>280</v>
      </c>
      <c r="I19" s="27" t="s">
        <v>280</v>
      </c>
      <c r="J19" s="15" t="s">
        <v>280</v>
      </c>
      <c r="K19" t="s">
        <v>280</v>
      </c>
      <c r="L19" s="27" t="s">
        <v>280</v>
      </c>
      <c r="M19" s="27" t="s">
        <v>280</v>
      </c>
      <c r="N19" t="s">
        <v>280</v>
      </c>
      <c r="O19" s="15" t="s">
        <v>280</v>
      </c>
      <c r="P19" t="s">
        <v>280</v>
      </c>
      <c r="Q19" t="s">
        <v>280</v>
      </c>
      <c r="R19" s="15" t="s">
        <v>280</v>
      </c>
      <c r="S19" t="s">
        <v>280</v>
      </c>
      <c r="T19" t="s">
        <v>280</v>
      </c>
      <c r="U19" s="27" t="s">
        <v>280</v>
      </c>
      <c r="V19" s="28" t="s">
        <v>130</v>
      </c>
      <c r="W19" s="15" t="s">
        <v>130</v>
      </c>
      <c r="X19" t="s">
        <v>130</v>
      </c>
      <c r="Y19" t="s">
        <v>130</v>
      </c>
      <c r="Z19" s="15" t="s">
        <v>130</v>
      </c>
      <c r="AA19" t="s">
        <v>130</v>
      </c>
      <c r="AB19" t="s">
        <v>130</v>
      </c>
      <c r="AC19" s="27" t="s">
        <v>130</v>
      </c>
      <c r="AD19" s="27" t="s">
        <v>130</v>
      </c>
      <c r="AE19" s="15" t="s">
        <v>130</v>
      </c>
      <c r="AF19" t="s">
        <v>130</v>
      </c>
      <c r="AG19" t="s">
        <v>130</v>
      </c>
      <c r="AH19" s="15" t="s">
        <v>130</v>
      </c>
      <c r="AI19" t="s">
        <v>130</v>
      </c>
      <c r="AJ19" t="s">
        <v>130</v>
      </c>
      <c r="AK19" s="23" t="s">
        <v>271</v>
      </c>
      <c r="AL19" s="15"/>
      <c r="AO19" s="15"/>
    </row>
    <row r="20" spans="1:41" x14ac:dyDescent="0.25">
      <c r="A20" t="s">
        <v>130</v>
      </c>
      <c r="B20" s="15" t="s">
        <v>264</v>
      </c>
      <c r="C20" t="s">
        <v>264</v>
      </c>
      <c r="D20" t="s">
        <v>264</v>
      </c>
      <c r="E20" s="23" t="s">
        <v>271</v>
      </c>
      <c r="F20" s="15" t="s">
        <v>271</v>
      </c>
      <c r="H20" s="27"/>
      <c r="I20" s="27"/>
      <c r="J20" s="30" t="s">
        <v>264</v>
      </c>
      <c r="K20" t="s">
        <v>264</v>
      </c>
      <c r="L20" s="27" t="s">
        <v>264</v>
      </c>
      <c r="M20" s="28" t="s">
        <v>291</v>
      </c>
      <c r="N20" t="s">
        <v>291</v>
      </c>
      <c r="O20" s="15" t="s">
        <v>291</v>
      </c>
      <c r="P20" t="s">
        <v>291</v>
      </c>
      <c r="Q20" t="s">
        <v>291</v>
      </c>
      <c r="R20" s="15" t="s">
        <v>291</v>
      </c>
      <c r="S20" t="s">
        <v>291</v>
      </c>
      <c r="T20" t="s">
        <v>291</v>
      </c>
      <c r="U20" s="27" t="s">
        <v>291</v>
      </c>
      <c r="V20" s="43"/>
      <c r="W20" s="15"/>
      <c r="Z20" s="15"/>
      <c r="AC20" s="27"/>
      <c r="AD20" s="27"/>
      <c r="AE20" s="15"/>
      <c r="AH20" s="15"/>
      <c r="AL20" s="15"/>
      <c r="AO20" s="15"/>
    </row>
    <row r="21" spans="1:41" x14ac:dyDescent="0.25">
      <c r="A21" t="s">
        <v>132</v>
      </c>
      <c r="B21" s="15"/>
      <c r="F21" s="15"/>
      <c r="H21" s="27"/>
      <c r="I21" s="27"/>
      <c r="J21" s="15"/>
      <c r="L21" s="28" t="s">
        <v>290</v>
      </c>
      <c r="M21" s="27" t="s">
        <v>290</v>
      </c>
      <c r="N21" t="s">
        <v>290</v>
      </c>
      <c r="O21" s="32" t="s">
        <v>271</v>
      </c>
      <c r="R21" s="15"/>
      <c r="U21" s="27"/>
      <c r="V21" s="27"/>
      <c r="W21" s="15"/>
      <c r="Z21" s="15"/>
      <c r="AC21" s="27"/>
      <c r="AD21" s="27"/>
      <c r="AE21" s="15"/>
      <c r="AH21" s="15"/>
      <c r="AL21" s="15"/>
      <c r="AO21" s="15"/>
    </row>
    <row r="22" spans="1:41" x14ac:dyDescent="0.25">
      <c r="A22" t="s">
        <v>133</v>
      </c>
      <c r="B22" s="15"/>
      <c r="D22" s="22" t="s">
        <v>274</v>
      </c>
      <c r="E22" t="s">
        <v>274</v>
      </c>
      <c r="F22" s="15" t="s">
        <v>274</v>
      </c>
      <c r="H22" s="27"/>
      <c r="I22" s="27"/>
      <c r="J22" s="15"/>
      <c r="L22" s="27"/>
      <c r="M22" s="27"/>
      <c r="O22" s="15"/>
      <c r="R22" s="15"/>
      <c r="T22" s="22" t="s">
        <v>301</v>
      </c>
      <c r="U22" s="27" t="s">
        <v>301</v>
      </c>
      <c r="V22" s="27" t="s">
        <v>301</v>
      </c>
      <c r="W22" s="15" t="s">
        <v>301</v>
      </c>
      <c r="X22" t="s">
        <v>301</v>
      </c>
      <c r="Y22" t="s">
        <v>301</v>
      </c>
      <c r="Z22" s="15" t="s">
        <v>301</v>
      </c>
      <c r="AA22" t="s">
        <v>301</v>
      </c>
      <c r="AB22" t="s">
        <v>301</v>
      </c>
      <c r="AC22" s="27" t="s">
        <v>301</v>
      </c>
      <c r="AD22" s="27" t="s">
        <v>301</v>
      </c>
      <c r="AE22" s="15" t="s">
        <v>301</v>
      </c>
      <c r="AF22" t="s">
        <v>301</v>
      </c>
      <c r="AG22" t="s">
        <v>301</v>
      </c>
      <c r="AH22" s="15" t="s">
        <v>301</v>
      </c>
      <c r="AI22" t="s">
        <v>301</v>
      </c>
      <c r="AJ22" t="s">
        <v>301</v>
      </c>
      <c r="AK22" t="s">
        <v>301</v>
      </c>
      <c r="AL22" s="15" t="s">
        <v>301</v>
      </c>
      <c r="AO22" s="15"/>
    </row>
    <row r="23" spans="1:41" x14ac:dyDescent="0.25">
      <c r="A23" t="s">
        <v>134</v>
      </c>
      <c r="B23" s="15"/>
      <c r="F23" s="15"/>
      <c r="H23" s="27"/>
      <c r="I23" s="27"/>
      <c r="J23" s="15"/>
      <c r="L23" s="27"/>
      <c r="M23" s="27"/>
      <c r="O23" s="15"/>
      <c r="R23" s="15"/>
      <c r="U23" s="27"/>
      <c r="V23" s="27"/>
      <c r="W23" s="15"/>
      <c r="Z23" s="15"/>
      <c r="AC23" s="27"/>
      <c r="AD23" s="27"/>
      <c r="AE23" s="15"/>
      <c r="AH23" s="15"/>
      <c r="AL23" s="15"/>
      <c r="AO23" s="15"/>
    </row>
    <row r="24" spans="1:41" s="20" customFormat="1" x14ac:dyDescent="0.25">
      <c r="A24" s="19">
        <v>603</v>
      </c>
    </row>
    <row r="25" spans="1:41" x14ac:dyDescent="0.25">
      <c r="A25" t="s">
        <v>266</v>
      </c>
      <c r="B25" s="15" t="s">
        <v>267</v>
      </c>
      <c r="C25" t="s">
        <v>267</v>
      </c>
      <c r="D25" s="23" t="s">
        <v>271</v>
      </c>
      <c r="E25" s="22" t="s">
        <v>276</v>
      </c>
      <c r="F25" s="15" t="s">
        <v>276</v>
      </c>
      <c r="G25" t="s">
        <v>276</v>
      </c>
      <c r="H25" s="27" t="s">
        <v>276</v>
      </c>
      <c r="I25" s="27" t="s">
        <v>276</v>
      </c>
      <c r="J25" s="15" t="s">
        <v>276</v>
      </c>
      <c r="K25" t="s">
        <v>276</v>
      </c>
      <c r="L25" s="27" t="s">
        <v>276</v>
      </c>
      <c r="M25" s="27" t="s">
        <v>276</v>
      </c>
      <c r="N25" t="s">
        <v>276</v>
      </c>
      <c r="O25" s="15" t="s">
        <v>276</v>
      </c>
      <c r="P25" s="23" t="s">
        <v>271</v>
      </c>
      <c r="Q25" s="22" t="s">
        <v>69</v>
      </c>
      <c r="R25" s="15" t="s">
        <v>69</v>
      </c>
      <c r="S25" t="s">
        <v>69</v>
      </c>
      <c r="T25" t="s">
        <v>69</v>
      </c>
      <c r="U25" s="27" t="s">
        <v>69</v>
      </c>
      <c r="V25" s="28" t="s">
        <v>80</v>
      </c>
      <c r="W25" s="15" t="s">
        <v>80</v>
      </c>
      <c r="X25" t="s">
        <v>80</v>
      </c>
      <c r="Y25" t="s">
        <v>80</v>
      </c>
      <c r="Z25" s="30" t="s">
        <v>69</v>
      </c>
      <c r="AA25" t="s">
        <v>69</v>
      </c>
      <c r="AB25" t="s">
        <v>69</v>
      </c>
      <c r="AC25" s="27" t="s">
        <v>69</v>
      </c>
      <c r="AD25" s="27" t="s">
        <v>69</v>
      </c>
      <c r="AE25" s="15" t="s">
        <v>69</v>
      </c>
      <c r="AF25" t="s">
        <v>69</v>
      </c>
      <c r="AG25" t="s">
        <v>69</v>
      </c>
      <c r="AH25" s="15" t="s">
        <v>69</v>
      </c>
      <c r="AI25" t="s">
        <v>69</v>
      </c>
      <c r="AJ25" t="s">
        <v>69</v>
      </c>
      <c r="AK25" t="s">
        <v>69</v>
      </c>
      <c r="AL25" s="15" t="s">
        <v>69</v>
      </c>
      <c r="AO25" s="15"/>
    </row>
    <row r="26" spans="1:41" x14ac:dyDescent="0.25">
      <c r="A26" t="s">
        <v>65</v>
      </c>
      <c r="B26" s="15" t="s">
        <v>268</v>
      </c>
      <c r="C26" t="s">
        <v>268</v>
      </c>
      <c r="D26" t="s">
        <v>268</v>
      </c>
      <c r="E26" s="22" t="s">
        <v>277</v>
      </c>
      <c r="F26" s="15" t="s">
        <v>277</v>
      </c>
      <c r="G26" t="s">
        <v>277</v>
      </c>
      <c r="H26" s="27" t="s">
        <v>277</v>
      </c>
      <c r="I26" s="27" t="s">
        <v>277</v>
      </c>
      <c r="J26" s="15" t="s">
        <v>277</v>
      </c>
      <c r="K26" t="s">
        <v>277</v>
      </c>
      <c r="L26" s="27" t="s">
        <v>277</v>
      </c>
      <c r="M26" s="27" t="s">
        <v>277</v>
      </c>
      <c r="N26" t="s">
        <v>277</v>
      </c>
      <c r="O26" s="15" t="s">
        <v>277</v>
      </c>
      <c r="P26" t="s">
        <v>277</v>
      </c>
      <c r="Q26" t="s">
        <v>277</v>
      </c>
      <c r="R26" s="30" t="s">
        <v>261</v>
      </c>
      <c r="S26" t="s">
        <v>261</v>
      </c>
      <c r="T26" t="s">
        <v>261</v>
      </c>
      <c r="U26" s="28" t="s">
        <v>277</v>
      </c>
      <c r="V26" s="27" t="s">
        <v>277</v>
      </c>
      <c r="W26" s="15" t="s">
        <v>277</v>
      </c>
      <c r="X26" t="s">
        <v>277</v>
      </c>
      <c r="Y26" t="s">
        <v>277</v>
      </c>
      <c r="Z26" s="15" t="s">
        <v>277</v>
      </c>
      <c r="AA26" t="s">
        <v>277</v>
      </c>
      <c r="AB26" t="s">
        <v>277</v>
      </c>
      <c r="AC26" s="31" t="s">
        <v>271</v>
      </c>
      <c r="AD26" s="45" t="s">
        <v>276</v>
      </c>
      <c r="AE26" s="15" t="s">
        <v>276</v>
      </c>
      <c r="AF26" t="s">
        <v>276</v>
      </c>
      <c r="AG26" t="s">
        <v>276</v>
      </c>
      <c r="AH26" s="15" t="s">
        <v>276</v>
      </c>
      <c r="AI26" t="s">
        <v>276</v>
      </c>
      <c r="AJ26" t="s">
        <v>276</v>
      </c>
      <c r="AK26" s="52" t="s">
        <v>277</v>
      </c>
      <c r="AL26" s="15" t="s">
        <v>277</v>
      </c>
      <c r="AO26" s="15"/>
    </row>
    <row r="27" spans="1:41" x14ac:dyDescent="0.25">
      <c r="A27" t="s">
        <v>260</v>
      </c>
      <c r="B27" s="15"/>
      <c r="D27" s="22" t="s">
        <v>275</v>
      </c>
      <c r="E27" t="s">
        <v>275</v>
      </c>
      <c r="F27" s="15" t="s">
        <v>275</v>
      </c>
      <c r="G27" s="22" t="s">
        <v>261</v>
      </c>
      <c r="H27" s="27" t="s">
        <v>261</v>
      </c>
      <c r="I27" s="27" t="s">
        <v>261</v>
      </c>
      <c r="J27" s="15" t="s">
        <v>261</v>
      </c>
      <c r="K27" t="s">
        <v>261</v>
      </c>
      <c r="L27" s="27" t="s">
        <v>261</v>
      </c>
      <c r="M27" s="27" t="s">
        <v>261</v>
      </c>
      <c r="N27" t="s">
        <v>261</v>
      </c>
      <c r="O27" s="15" t="s">
        <v>261</v>
      </c>
      <c r="P27" t="s">
        <v>261</v>
      </c>
      <c r="Q27" t="s">
        <v>261</v>
      </c>
      <c r="R27" s="15" t="s">
        <v>277</v>
      </c>
      <c r="S27" t="s">
        <v>277</v>
      </c>
      <c r="T27" t="s">
        <v>277</v>
      </c>
      <c r="U27" s="43" t="s">
        <v>271</v>
      </c>
      <c r="V27" s="43"/>
      <c r="W27" s="15"/>
      <c r="Z27" s="30" t="s">
        <v>261</v>
      </c>
      <c r="AA27" t="s">
        <v>261</v>
      </c>
      <c r="AB27" t="s">
        <v>261</v>
      </c>
      <c r="AC27" s="27" t="s">
        <v>261</v>
      </c>
      <c r="AD27" s="27" t="s">
        <v>261</v>
      </c>
      <c r="AE27" s="15" t="s">
        <v>261</v>
      </c>
      <c r="AF27" t="s">
        <v>261</v>
      </c>
      <c r="AG27" t="s">
        <v>261</v>
      </c>
      <c r="AH27" s="15" t="s">
        <v>261</v>
      </c>
      <c r="AI27" t="s">
        <v>261</v>
      </c>
      <c r="AJ27" t="s">
        <v>261</v>
      </c>
      <c r="AK27" t="s">
        <v>261</v>
      </c>
      <c r="AL27" s="15" t="s">
        <v>261</v>
      </c>
      <c r="AO27" s="15"/>
    </row>
    <row r="28" spans="1:41" x14ac:dyDescent="0.25">
      <c r="A28" t="s">
        <v>67</v>
      </c>
      <c r="B28" s="15" t="s">
        <v>269</v>
      </c>
      <c r="C28" t="s">
        <v>269</v>
      </c>
      <c r="D28" t="s">
        <v>269</v>
      </c>
      <c r="E28" t="s">
        <v>269</v>
      </c>
      <c r="F28" s="15" t="s">
        <v>269</v>
      </c>
      <c r="G28" s="22" t="s">
        <v>268</v>
      </c>
      <c r="H28" s="27" t="s">
        <v>268</v>
      </c>
      <c r="I28" s="27" t="s">
        <v>268</v>
      </c>
      <c r="J28" s="15" t="s">
        <v>268</v>
      </c>
      <c r="K28" t="s">
        <v>268</v>
      </c>
      <c r="L28" s="27" t="s">
        <v>268</v>
      </c>
      <c r="M28" s="27" t="s">
        <v>268</v>
      </c>
      <c r="N28" t="s">
        <v>268</v>
      </c>
      <c r="O28" s="15" t="s">
        <v>268</v>
      </c>
      <c r="P28" t="s">
        <v>268</v>
      </c>
      <c r="Q28" t="s">
        <v>268</v>
      </c>
      <c r="R28" s="15" t="s">
        <v>268</v>
      </c>
      <c r="S28" t="s">
        <v>268</v>
      </c>
      <c r="T28" t="s">
        <v>268</v>
      </c>
      <c r="U28" s="27" t="s">
        <v>268</v>
      </c>
      <c r="V28" s="43" t="s">
        <v>271</v>
      </c>
      <c r="W28" s="15"/>
      <c r="Z28" s="15"/>
      <c r="AC28" s="27"/>
      <c r="AD28" s="27"/>
      <c r="AE28" s="15"/>
      <c r="AG28" s="22" t="s">
        <v>269</v>
      </c>
      <c r="AH28" s="15" t="s">
        <v>269</v>
      </c>
      <c r="AI28" t="s">
        <v>269</v>
      </c>
      <c r="AJ28" t="s">
        <v>269</v>
      </c>
      <c r="AK28" t="s">
        <v>269</v>
      </c>
      <c r="AL28" s="15" t="s">
        <v>269</v>
      </c>
      <c r="AO28" s="15"/>
    </row>
    <row r="29" spans="1:41" x14ac:dyDescent="0.25">
      <c r="A29" t="s">
        <v>261</v>
      </c>
      <c r="B29" s="15"/>
      <c r="F29" s="15"/>
      <c r="H29" s="27"/>
      <c r="I29" s="27"/>
      <c r="J29" s="15"/>
      <c r="L29" s="27"/>
      <c r="M29" s="27"/>
      <c r="O29" s="15"/>
      <c r="R29" s="15"/>
      <c r="U29" s="27"/>
      <c r="V29" s="27"/>
      <c r="W29" s="15"/>
      <c r="Z29" s="15"/>
      <c r="AC29" s="27"/>
      <c r="AD29" s="27"/>
      <c r="AE29" s="15"/>
      <c r="AH29" s="15"/>
      <c r="AL29" s="15"/>
      <c r="AO29" s="15"/>
    </row>
    <row r="30" spans="1:41" x14ac:dyDescent="0.25">
      <c r="A30" t="s">
        <v>69</v>
      </c>
      <c r="B30" s="15" t="s">
        <v>270</v>
      </c>
      <c r="C30" t="s">
        <v>270</v>
      </c>
      <c r="D30" t="s">
        <v>270</v>
      </c>
      <c r="E30" s="23" t="s">
        <v>271</v>
      </c>
      <c r="F30" s="15" t="s">
        <v>271</v>
      </c>
      <c r="G30" s="22" t="s">
        <v>278</v>
      </c>
      <c r="H30" s="29" t="s">
        <v>271</v>
      </c>
      <c r="I30" s="29"/>
      <c r="J30" s="30" t="s">
        <v>270</v>
      </c>
      <c r="K30" t="s">
        <v>270</v>
      </c>
      <c r="L30" s="27" t="s">
        <v>270</v>
      </c>
      <c r="M30" s="31" t="s">
        <v>271</v>
      </c>
      <c r="N30" s="22" t="s">
        <v>294</v>
      </c>
      <c r="O30" s="15" t="s">
        <v>294</v>
      </c>
      <c r="P30" t="s">
        <v>294</v>
      </c>
      <c r="Q30" s="23" t="s">
        <v>271</v>
      </c>
      <c r="R30" s="15"/>
      <c r="U30" s="27"/>
      <c r="V30" s="28" t="s">
        <v>269</v>
      </c>
      <c r="W30" s="15" t="s">
        <v>269</v>
      </c>
      <c r="X30" t="s">
        <v>269</v>
      </c>
      <c r="Y30" t="s">
        <v>269</v>
      </c>
      <c r="Z30" s="32" t="s">
        <v>271</v>
      </c>
      <c r="AC30" s="27"/>
      <c r="AD30" s="27"/>
      <c r="AE30" s="15"/>
      <c r="AH30" s="15"/>
      <c r="AL30" s="15"/>
      <c r="AO30" s="15"/>
    </row>
    <row r="31" spans="1:41" x14ac:dyDescent="0.25">
      <c r="A31" t="s">
        <v>71</v>
      </c>
      <c r="B31" s="15" t="s">
        <v>72</v>
      </c>
      <c r="C31" t="s">
        <v>72</v>
      </c>
      <c r="D31" t="s">
        <v>72</v>
      </c>
      <c r="E31" t="s">
        <v>72</v>
      </c>
      <c r="F31" s="15" t="s">
        <v>72</v>
      </c>
      <c r="G31" t="s">
        <v>72</v>
      </c>
      <c r="H31" s="27" t="s">
        <v>72</v>
      </c>
      <c r="I31" s="27" t="s">
        <v>72</v>
      </c>
      <c r="J31" s="15" t="s">
        <v>72</v>
      </c>
      <c r="K31" t="s">
        <v>72</v>
      </c>
      <c r="L31" s="27" t="s">
        <v>72</v>
      </c>
      <c r="M31" s="27" t="s">
        <v>72</v>
      </c>
      <c r="N31" t="s">
        <v>72</v>
      </c>
      <c r="O31" s="15" t="s">
        <v>72</v>
      </c>
      <c r="P31" t="s">
        <v>72</v>
      </c>
      <c r="Q31" t="s">
        <v>72</v>
      </c>
      <c r="R31" s="15" t="s">
        <v>72</v>
      </c>
      <c r="S31" t="s">
        <v>72</v>
      </c>
      <c r="T31" t="s">
        <v>72</v>
      </c>
      <c r="U31" s="27" t="s">
        <v>72</v>
      </c>
      <c r="V31" s="27" t="s">
        <v>72</v>
      </c>
      <c r="W31" s="15" t="s">
        <v>72</v>
      </c>
      <c r="X31" t="s">
        <v>72</v>
      </c>
      <c r="Y31" t="s">
        <v>72</v>
      </c>
      <c r="Z31" s="15" t="s">
        <v>72</v>
      </c>
      <c r="AA31" t="s">
        <v>72</v>
      </c>
      <c r="AB31" s="22" t="s">
        <v>333</v>
      </c>
      <c r="AC31" s="27" t="s">
        <v>333</v>
      </c>
      <c r="AD31" s="27" t="s">
        <v>333</v>
      </c>
      <c r="AE31" s="15" t="s">
        <v>333</v>
      </c>
      <c r="AF31" t="s">
        <v>333</v>
      </c>
      <c r="AG31" s="22" t="s">
        <v>72</v>
      </c>
      <c r="AH31" s="15" t="s">
        <v>72</v>
      </c>
      <c r="AI31" t="s">
        <v>72</v>
      </c>
      <c r="AJ31" t="s">
        <v>72</v>
      </c>
      <c r="AK31" t="s">
        <v>72</v>
      </c>
      <c r="AL31" s="15" t="s">
        <v>72</v>
      </c>
      <c r="AO31" s="15"/>
    </row>
    <row r="32" spans="1:41" x14ac:dyDescent="0.25">
      <c r="A32" t="s">
        <v>73</v>
      </c>
      <c r="B32" s="15"/>
      <c r="F32" s="15"/>
      <c r="H32" s="27"/>
      <c r="I32" s="27"/>
      <c r="J32" s="15"/>
      <c r="L32" s="27"/>
      <c r="M32" s="27"/>
      <c r="O32" s="15"/>
      <c r="R32" s="15"/>
      <c r="U32" s="27"/>
      <c r="V32" s="27"/>
      <c r="W32" s="15"/>
      <c r="Z32" s="15"/>
      <c r="AC32" s="27"/>
      <c r="AD32" s="27"/>
      <c r="AE32" s="15"/>
      <c r="AH32" s="15"/>
      <c r="AL32" s="15"/>
      <c r="AO32" s="15"/>
    </row>
    <row r="33" spans="1:41" x14ac:dyDescent="0.25">
      <c r="A33" t="s">
        <v>302</v>
      </c>
      <c r="B33" s="15"/>
      <c r="F33" s="15"/>
      <c r="H33" s="27"/>
      <c r="I33" s="27"/>
      <c r="J33" s="15"/>
      <c r="L33" s="27"/>
      <c r="M33" s="27"/>
      <c r="O33" s="15"/>
      <c r="R33" s="15"/>
      <c r="T33" s="22" t="s">
        <v>275</v>
      </c>
      <c r="U33" s="27" t="s">
        <v>275</v>
      </c>
      <c r="V33" s="27" t="s">
        <v>275</v>
      </c>
      <c r="W33" s="15" t="s">
        <v>275</v>
      </c>
      <c r="X33" t="s">
        <v>275</v>
      </c>
      <c r="Y33" t="s">
        <v>275</v>
      </c>
      <c r="Z33" s="15" t="s">
        <v>275</v>
      </c>
      <c r="AA33" t="s">
        <v>275</v>
      </c>
      <c r="AB33" t="s">
        <v>275</v>
      </c>
      <c r="AC33" s="27" t="s">
        <v>275</v>
      </c>
      <c r="AD33" s="27" t="s">
        <v>275</v>
      </c>
      <c r="AE33" s="15" t="s">
        <v>275</v>
      </c>
      <c r="AF33" t="s">
        <v>275</v>
      </c>
      <c r="AG33" t="s">
        <v>275</v>
      </c>
      <c r="AH33" s="15" t="s">
        <v>275</v>
      </c>
      <c r="AI33" t="s">
        <v>275</v>
      </c>
      <c r="AJ33" t="s">
        <v>275</v>
      </c>
      <c r="AK33" t="s">
        <v>275</v>
      </c>
      <c r="AL33" s="15" t="s">
        <v>275</v>
      </c>
      <c r="AO33" s="15"/>
    </row>
    <row r="34" spans="1:41" x14ac:dyDescent="0.25">
      <c r="A34" t="s">
        <v>269</v>
      </c>
      <c r="U34" s="27"/>
      <c r="V34" s="27"/>
      <c r="W34" s="15"/>
      <c r="Z34" s="15"/>
      <c r="AB34" s="22" t="s">
        <v>72</v>
      </c>
      <c r="AC34" s="27" t="s">
        <v>72</v>
      </c>
      <c r="AD34" s="27" t="s">
        <v>72</v>
      </c>
      <c r="AE34" s="15" t="s">
        <v>72</v>
      </c>
      <c r="AF34" t="s">
        <v>72</v>
      </c>
      <c r="AH34" s="15"/>
      <c r="AL34" s="15"/>
      <c r="AO34" s="15"/>
    </row>
    <row r="42" spans="1:41" x14ac:dyDescent="0.25">
      <c r="Z42" t="s">
        <v>336</v>
      </c>
    </row>
  </sheetData>
  <phoneticPr fontId="4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D675-940F-443A-84DA-11B4D8568D19}">
  <dimension ref="A1:E26"/>
  <sheetViews>
    <sheetView workbookViewId="0">
      <selection activeCell="J28" sqref="J28"/>
    </sheetView>
  </sheetViews>
  <sheetFormatPr baseColWidth="10" defaultRowHeight="15" x14ac:dyDescent="0.25"/>
  <cols>
    <col min="2" max="2" width="16.28515625" customWidth="1"/>
    <col min="3" max="3" width="16.140625" customWidth="1"/>
    <col min="4" max="4" width="15.7109375" customWidth="1"/>
    <col min="5" max="5" width="17.28515625" customWidth="1"/>
  </cols>
  <sheetData>
    <row r="1" spans="1:5" x14ac:dyDescent="0.25">
      <c r="A1" t="s">
        <v>303</v>
      </c>
    </row>
    <row r="3" spans="1:5" x14ac:dyDescent="0.25">
      <c r="A3" s="36" t="s">
        <v>1</v>
      </c>
      <c r="B3" s="37" t="s">
        <v>304</v>
      </c>
      <c r="C3" s="37" t="s">
        <v>305</v>
      </c>
      <c r="D3" s="37" t="s">
        <v>306</v>
      </c>
      <c r="E3" s="38" t="s">
        <v>307</v>
      </c>
    </row>
    <row r="4" spans="1:5" x14ac:dyDescent="0.25">
      <c r="A4" s="34" t="s">
        <v>262</v>
      </c>
      <c r="B4" s="33"/>
      <c r="C4" s="33"/>
      <c r="D4" s="33">
        <v>1</v>
      </c>
      <c r="E4" s="35">
        <f>B4*100000+C4*300000+D4*600000</f>
        <v>600000</v>
      </c>
    </row>
    <row r="5" spans="1:5" x14ac:dyDescent="0.25">
      <c r="A5" s="34" t="s">
        <v>106</v>
      </c>
      <c r="B5" s="33">
        <v>2</v>
      </c>
      <c r="C5" s="33">
        <v>4</v>
      </c>
      <c r="D5" s="33">
        <v>2</v>
      </c>
      <c r="E5" s="35">
        <f t="shared" ref="E5:E24" si="0">B5*100000+C5*300000+D5*600000</f>
        <v>2600000</v>
      </c>
    </row>
    <row r="6" spans="1:5" x14ac:dyDescent="0.25">
      <c r="A6" s="34" t="s">
        <v>108</v>
      </c>
      <c r="B6" s="33">
        <v>2</v>
      </c>
      <c r="C6" s="33">
        <v>2</v>
      </c>
      <c r="D6" s="33"/>
      <c r="E6" s="35">
        <f t="shared" si="0"/>
        <v>800000</v>
      </c>
    </row>
    <row r="7" spans="1:5" x14ac:dyDescent="0.25">
      <c r="A7" s="34" t="s">
        <v>107</v>
      </c>
      <c r="B7" s="33">
        <v>2</v>
      </c>
      <c r="C7" s="33">
        <v>2</v>
      </c>
      <c r="D7" s="33">
        <v>3</v>
      </c>
      <c r="E7" s="35">
        <f t="shared" si="0"/>
        <v>2600000</v>
      </c>
    </row>
    <row r="8" spans="1:5" x14ac:dyDescent="0.25">
      <c r="A8" s="34" t="s">
        <v>110</v>
      </c>
      <c r="B8" s="33">
        <v>3</v>
      </c>
      <c r="C8" s="33">
        <v>1</v>
      </c>
      <c r="D8" s="33">
        <v>1</v>
      </c>
      <c r="E8" s="35">
        <f t="shared" si="0"/>
        <v>1200000</v>
      </c>
    </row>
    <row r="9" spans="1:5" x14ac:dyDescent="0.25">
      <c r="A9" s="34" t="s">
        <v>109</v>
      </c>
      <c r="B9" s="33">
        <v>1</v>
      </c>
      <c r="C9" s="33">
        <v>2</v>
      </c>
      <c r="D9" s="33">
        <v>2</v>
      </c>
      <c r="E9" s="35">
        <f t="shared" si="0"/>
        <v>1900000</v>
      </c>
    </row>
    <row r="10" spans="1:5" x14ac:dyDescent="0.25">
      <c r="A10" s="34" t="s">
        <v>111</v>
      </c>
      <c r="B10" s="33">
        <v>2</v>
      </c>
      <c r="C10" s="33">
        <v>2</v>
      </c>
      <c r="D10" s="33"/>
      <c r="E10" s="35">
        <f t="shared" si="0"/>
        <v>800000</v>
      </c>
    </row>
    <row r="11" spans="1:5" x14ac:dyDescent="0.25">
      <c r="A11" s="34" t="s">
        <v>114</v>
      </c>
      <c r="B11" s="33">
        <v>1</v>
      </c>
      <c r="C11" s="33"/>
      <c r="D11" s="33"/>
      <c r="E11" s="35">
        <f t="shared" si="0"/>
        <v>100000</v>
      </c>
    </row>
    <row r="12" spans="1:5" x14ac:dyDescent="0.25">
      <c r="A12" s="34" t="s">
        <v>113</v>
      </c>
      <c r="B12" s="33">
        <v>4</v>
      </c>
      <c r="C12" s="33"/>
      <c r="D12" s="33"/>
      <c r="E12" s="35">
        <f t="shared" si="0"/>
        <v>400000</v>
      </c>
    </row>
    <row r="13" spans="1:5" x14ac:dyDescent="0.25">
      <c r="A13" s="34" t="s">
        <v>112</v>
      </c>
      <c r="B13" s="33">
        <v>2</v>
      </c>
      <c r="C13" s="33"/>
      <c r="D13" s="33"/>
      <c r="E13" s="35">
        <f t="shared" si="0"/>
        <v>200000</v>
      </c>
    </row>
    <row r="14" spans="1:5" x14ac:dyDescent="0.25">
      <c r="A14" s="34" t="s">
        <v>272</v>
      </c>
      <c r="B14" s="33">
        <v>1</v>
      </c>
      <c r="C14" s="33"/>
      <c r="D14" s="33"/>
      <c r="E14" s="35">
        <f t="shared" si="0"/>
        <v>100000</v>
      </c>
    </row>
    <row r="15" spans="1:5" x14ac:dyDescent="0.25">
      <c r="A15" s="34" t="s">
        <v>308</v>
      </c>
      <c r="B15" s="33">
        <v>2</v>
      </c>
      <c r="C15" s="33"/>
      <c r="D15" s="33"/>
      <c r="E15" s="35">
        <f t="shared" si="0"/>
        <v>200000</v>
      </c>
    </row>
    <row r="16" spans="1:5" x14ac:dyDescent="0.25">
      <c r="A16" s="34" t="s">
        <v>293</v>
      </c>
      <c r="B16" s="33">
        <v>2</v>
      </c>
      <c r="C16" s="33"/>
      <c r="D16" s="33"/>
      <c r="E16" s="35">
        <f t="shared" si="0"/>
        <v>200000</v>
      </c>
    </row>
    <row r="17" spans="1:5" x14ac:dyDescent="0.25">
      <c r="A17" s="34" t="s">
        <v>273</v>
      </c>
      <c r="B17" s="33">
        <v>3</v>
      </c>
      <c r="C17" s="33"/>
      <c r="D17" s="33"/>
      <c r="E17" s="35">
        <f t="shared" si="0"/>
        <v>300000</v>
      </c>
    </row>
    <row r="18" spans="1:5" x14ac:dyDescent="0.25">
      <c r="A18" s="34" t="s">
        <v>309</v>
      </c>
      <c r="B18" s="33">
        <v>2</v>
      </c>
      <c r="C18" s="33"/>
      <c r="D18" s="33"/>
      <c r="E18" s="35">
        <f t="shared" si="0"/>
        <v>200000</v>
      </c>
    </row>
    <row r="19" spans="1:5" x14ac:dyDescent="0.25">
      <c r="A19" s="34" t="s">
        <v>310</v>
      </c>
      <c r="B19" s="33">
        <v>1</v>
      </c>
      <c r="C19" s="33"/>
      <c r="D19" s="33"/>
      <c r="E19" s="35">
        <f t="shared" si="0"/>
        <v>100000</v>
      </c>
    </row>
    <row r="20" spans="1:5" x14ac:dyDescent="0.25">
      <c r="A20" s="34" t="s">
        <v>311</v>
      </c>
      <c r="B20" s="33">
        <v>2</v>
      </c>
      <c r="C20" s="33"/>
      <c r="D20" s="33"/>
      <c r="E20" s="35">
        <f t="shared" si="0"/>
        <v>200000</v>
      </c>
    </row>
    <row r="21" spans="1:5" x14ac:dyDescent="0.25">
      <c r="A21" s="34" t="s">
        <v>312</v>
      </c>
      <c r="B21" s="33">
        <v>2</v>
      </c>
      <c r="C21" s="33"/>
      <c r="D21" s="33"/>
      <c r="E21" s="35">
        <f t="shared" si="0"/>
        <v>200000</v>
      </c>
    </row>
    <row r="22" spans="1:5" x14ac:dyDescent="0.25">
      <c r="A22" s="34" t="s">
        <v>313</v>
      </c>
      <c r="B22" s="33">
        <v>2</v>
      </c>
      <c r="C22" s="33"/>
      <c r="D22" s="33"/>
      <c r="E22" s="35">
        <f t="shared" si="0"/>
        <v>200000</v>
      </c>
    </row>
    <row r="23" spans="1:5" x14ac:dyDescent="0.25">
      <c r="A23" s="34" t="s">
        <v>314</v>
      </c>
      <c r="B23" s="33">
        <v>2</v>
      </c>
      <c r="C23" s="33"/>
      <c r="D23" s="33"/>
      <c r="E23" s="35">
        <f t="shared" si="0"/>
        <v>200000</v>
      </c>
    </row>
    <row r="24" spans="1:5" x14ac:dyDescent="0.25">
      <c r="A24" s="39" t="s">
        <v>315</v>
      </c>
      <c r="B24" s="40">
        <v>2</v>
      </c>
      <c r="C24" s="41"/>
      <c r="D24" s="41"/>
      <c r="E24" s="42">
        <f t="shared" si="0"/>
        <v>200000</v>
      </c>
    </row>
    <row r="25" spans="1:5" x14ac:dyDescent="0.25">
      <c r="B25">
        <f>SUM(B4:B24)</f>
        <v>40</v>
      </c>
      <c r="C25">
        <f t="shared" ref="C25:D25" si="1">SUM(C4:C24)</f>
        <v>13</v>
      </c>
      <c r="D25">
        <f t="shared" si="1"/>
        <v>9</v>
      </c>
      <c r="E25" s="1">
        <f>SUBTOTAL(109,Tabelle1[Influence Points])</f>
        <v>13300000</v>
      </c>
    </row>
    <row r="26" spans="1:5" x14ac:dyDescent="0.25">
      <c r="B26" s="51">
        <f>SUM(B25:D25)</f>
        <v>62</v>
      </c>
      <c r="C26" s="51"/>
      <c r="D26" s="51"/>
    </row>
  </sheetData>
  <mergeCells count="1">
    <mergeCell ref="B26:D26"/>
  </mergeCell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93F4-C3B6-4AD2-8A6F-1BB9100C9A75}">
  <dimension ref="A1:R28"/>
  <sheetViews>
    <sheetView workbookViewId="0">
      <selection activeCell="V20" sqref="V20"/>
    </sheetView>
  </sheetViews>
  <sheetFormatPr baseColWidth="10" defaultRowHeight="15" x14ac:dyDescent="0.25"/>
  <cols>
    <col min="1" max="1" width="3" bestFit="1" customWidth="1"/>
    <col min="5" max="5" width="20.42578125" hidden="1" customWidth="1"/>
    <col min="6" max="6" width="24.5703125" hidden="1" customWidth="1"/>
    <col min="7" max="8" width="12.42578125" hidden="1" customWidth="1"/>
    <col min="9" max="9" width="12.5703125" hidden="1" customWidth="1"/>
    <col min="10" max="10" width="16.28515625" hidden="1" customWidth="1"/>
    <col min="11" max="11" width="17.7109375" hidden="1" customWidth="1"/>
    <col min="12" max="12" width="19.42578125" hidden="1" customWidth="1"/>
    <col min="13" max="14" width="17.42578125" hidden="1" customWidth="1"/>
    <col min="15" max="15" width="17.42578125" customWidth="1"/>
    <col min="16" max="16" width="17.42578125" hidden="1" customWidth="1"/>
    <col min="17" max="17" width="17.42578125" customWidth="1"/>
    <col min="18" max="18" width="14.140625" customWidth="1"/>
  </cols>
  <sheetData>
    <row r="1" spans="1:18" x14ac:dyDescent="0.25">
      <c r="A1" t="s">
        <v>167</v>
      </c>
      <c r="B1" t="s">
        <v>320</v>
      </c>
      <c r="C1" t="s">
        <v>321</v>
      </c>
      <c r="D1" t="s">
        <v>1</v>
      </c>
      <c r="E1" t="s">
        <v>329</v>
      </c>
      <c r="F1" t="s">
        <v>324</v>
      </c>
      <c r="G1" t="s">
        <v>337</v>
      </c>
      <c r="H1" t="s">
        <v>339</v>
      </c>
      <c r="I1" t="s">
        <v>338</v>
      </c>
      <c r="J1" t="s">
        <v>340</v>
      </c>
      <c r="K1" t="s">
        <v>342</v>
      </c>
      <c r="L1" t="s">
        <v>343</v>
      </c>
      <c r="M1" t="s">
        <v>345</v>
      </c>
      <c r="N1" t="s">
        <v>346</v>
      </c>
      <c r="O1" t="s">
        <v>347</v>
      </c>
      <c r="P1" t="s">
        <v>351</v>
      </c>
      <c r="Q1" t="s">
        <v>352</v>
      </c>
      <c r="R1" t="s">
        <v>330</v>
      </c>
    </row>
    <row r="2" spans="1:18" x14ac:dyDescent="0.25">
      <c r="A2">
        <v>1</v>
      </c>
      <c r="B2" s="46" t="s">
        <v>322</v>
      </c>
      <c r="C2" s="46">
        <v>598</v>
      </c>
      <c r="D2" s="46" t="s">
        <v>45</v>
      </c>
      <c r="E2" s="49">
        <v>6700000</v>
      </c>
      <c r="F2" s="49">
        <f>IF(B2="Blue",E2+4*100000-1*200000,E2+1*100000-4*200000)</f>
        <v>6900000</v>
      </c>
      <c r="G2" s="49">
        <v>7250000</v>
      </c>
      <c r="H2" s="49">
        <v>7750000</v>
      </c>
      <c r="I2" s="49">
        <v>7900000</v>
      </c>
      <c r="J2" s="49">
        <v>7900000</v>
      </c>
      <c r="K2" s="49">
        <f>IF(B2="Blue",J2+0*100000-1*200000,J2+1*100000-0*200000)</f>
        <v>7700000</v>
      </c>
      <c r="L2" s="49">
        <f>IF(B2="Blue",J2+0*100000-2*200000,J2+2*100000-0*200000)</f>
        <v>7500000</v>
      </c>
      <c r="M2" s="49">
        <v>8050000</v>
      </c>
      <c r="N2" s="49">
        <v>8300000</v>
      </c>
      <c r="O2" s="49">
        <v>8300000</v>
      </c>
      <c r="P2" s="49">
        <v>8450000</v>
      </c>
      <c r="Q2" s="49">
        <v>8450000</v>
      </c>
      <c r="R2" s="49">
        <f>Q2-O2</f>
        <v>150000</v>
      </c>
    </row>
    <row r="3" spans="1:18" x14ac:dyDescent="0.25">
      <c r="A3">
        <v>2</v>
      </c>
      <c r="B3" s="46" t="s">
        <v>322</v>
      </c>
      <c r="C3" s="46">
        <v>598</v>
      </c>
      <c r="D3" s="46" t="s">
        <v>44</v>
      </c>
      <c r="E3" s="49">
        <v>6700000</v>
      </c>
      <c r="F3" s="49">
        <f>IF(B3="Blue",E3+4*100000-1*200000,E3+1*100000-4*200000)</f>
        <v>6900000</v>
      </c>
      <c r="G3" s="49">
        <v>7250000</v>
      </c>
      <c r="H3" s="49">
        <v>7750000</v>
      </c>
      <c r="I3" s="49">
        <v>7900000</v>
      </c>
      <c r="J3" s="49">
        <v>7900000</v>
      </c>
      <c r="K3" s="49">
        <f>IF(B3="Blue",J3+0*100000-1*200000,J3+1*100000-0*200000)</f>
        <v>7700000</v>
      </c>
      <c r="L3" s="49">
        <f>IF(B3="Blue",J3+0*100000-2*200000,J3+2*100000-0*200000)</f>
        <v>7500000</v>
      </c>
      <c r="M3" s="49">
        <v>7900000</v>
      </c>
      <c r="N3" s="49">
        <v>8300000</v>
      </c>
      <c r="O3" s="49">
        <v>8300000</v>
      </c>
      <c r="P3" s="49">
        <v>8300000</v>
      </c>
      <c r="Q3" s="49">
        <v>8450000</v>
      </c>
      <c r="R3" s="49">
        <f>Q3-O3</f>
        <v>150000</v>
      </c>
    </row>
    <row r="4" spans="1:18" x14ac:dyDescent="0.25">
      <c r="A4">
        <v>3</v>
      </c>
      <c r="B4" s="46" t="s">
        <v>322</v>
      </c>
      <c r="C4" s="46">
        <v>556</v>
      </c>
      <c r="D4" s="46" t="s">
        <v>3</v>
      </c>
      <c r="E4" s="49">
        <v>6100000</v>
      </c>
      <c r="F4" s="49">
        <f>IF(B4="Blue",E4+4*100000-1*200000,E4+1*100000-4*200000)</f>
        <v>6300000</v>
      </c>
      <c r="G4" s="49">
        <v>6800000</v>
      </c>
      <c r="H4" s="49">
        <v>6800000</v>
      </c>
      <c r="I4" s="49">
        <v>6900000</v>
      </c>
      <c r="J4" s="49">
        <v>6900000</v>
      </c>
      <c r="K4" s="49">
        <f>IF(B4="Blue",J4+0*100000-1*200000,J4+1*100000-0*200000)</f>
        <v>6700000</v>
      </c>
      <c r="L4" s="49">
        <f>IF(B4="Blue",J4+0*100000-2*200000,J4+2*100000-0*200000)</f>
        <v>6500000</v>
      </c>
      <c r="M4" s="49">
        <v>6900000</v>
      </c>
      <c r="N4" s="49">
        <v>7150000</v>
      </c>
      <c r="O4" s="49">
        <v>7150000</v>
      </c>
      <c r="P4" s="49">
        <v>6850000</v>
      </c>
      <c r="Q4" s="49">
        <v>6850000</v>
      </c>
      <c r="R4" s="49">
        <f>Q4-O4</f>
        <v>-300000</v>
      </c>
    </row>
    <row r="5" spans="1:18" x14ac:dyDescent="0.25">
      <c r="A5">
        <v>4</v>
      </c>
      <c r="B5" s="46" t="s">
        <v>322</v>
      </c>
      <c r="C5" s="46">
        <v>556</v>
      </c>
      <c r="D5" s="46" t="s">
        <v>5</v>
      </c>
      <c r="E5" s="49">
        <v>5300000</v>
      </c>
      <c r="F5" s="49">
        <f>IF(B5="Blue",E5+4*100000-1*200000,E5+1*100000-4*200000)</f>
        <v>5500000</v>
      </c>
      <c r="G5" s="49">
        <v>4550000</v>
      </c>
      <c r="H5" s="49">
        <v>3950000</v>
      </c>
      <c r="I5" s="49">
        <v>4700000</v>
      </c>
      <c r="J5" s="49">
        <v>4100000</v>
      </c>
      <c r="K5" s="49">
        <f>IF(B5="Blue",J5+0*100000-1*200000,J5+1*100000-0*200000)</f>
        <v>3900000</v>
      </c>
      <c r="L5" s="49">
        <f>IF(B5="Blue",J5+0*100000-2*200000,J5+2*100000-0*200000)</f>
        <v>3700000</v>
      </c>
      <c r="M5" s="49">
        <v>4600000</v>
      </c>
      <c r="N5" s="49">
        <v>4700000</v>
      </c>
      <c r="O5" s="49">
        <v>4700000</v>
      </c>
      <c r="P5" s="49">
        <v>4700000</v>
      </c>
      <c r="Q5" s="49">
        <v>4700000</v>
      </c>
      <c r="R5" s="49">
        <f>Q5-O5</f>
        <v>0</v>
      </c>
    </row>
    <row r="6" spans="1:18" x14ac:dyDescent="0.25">
      <c r="A6">
        <v>5</v>
      </c>
      <c r="B6" s="46" t="s">
        <v>322</v>
      </c>
      <c r="C6" s="46">
        <v>598</v>
      </c>
      <c r="D6" s="46" t="s">
        <v>46</v>
      </c>
      <c r="E6" s="49">
        <v>5100000</v>
      </c>
      <c r="F6" s="49">
        <f>IF(B6="Blue",E6+4*100000-1*200000,E6+1*100000-4*200000)</f>
        <v>5300000</v>
      </c>
      <c r="G6" s="49">
        <v>4200000</v>
      </c>
      <c r="H6" s="49">
        <v>4200000</v>
      </c>
      <c r="I6" s="49">
        <v>4500000</v>
      </c>
      <c r="J6" s="49">
        <v>4550000</v>
      </c>
      <c r="K6" s="49">
        <f>IF(B6="Blue",J6+0*100000-1*200000,J6+1*100000-0*200000)</f>
        <v>4350000</v>
      </c>
      <c r="L6" s="49">
        <f>IF(B6="Blue",J6+0*100000-2*200000,J6+2*100000-0*200000)</f>
        <v>4150000</v>
      </c>
      <c r="M6" s="49">
        <v>4550000</v>
      </c>
      <c r="N6" s="49">
        <v>4700000</v>
      </c>
      <c r="O6" s="49">
        <v>4700000</v>
      </c>
      <c r="P6" s="49">
        <v>4700000</v>
      </c>
      <c r="Q6" s="49">
        <v>4700000</v>
      </c>
      <c r="R6" s="49">
        <f>Q6-O6</f>
        <v>0</v>
      </c>
    </row>
    <row r="7" spans="1:18" x14ac:dyDescent="0.25">
      <c r="A7">
        <v>6</v>
      </c>
      <c r="B7" s="47" t="s">
        <v>322</v>
      </c>
      <c r="C7" s="47">
        <v>573</v>
      </c>
      <c r="D7" s="47" t="s">
        <v>24</v>
      </c>
      <c r="E7" s="48">
        <v>2500000</v>
      </c>
      <c r="F7" s="48">
        <f>IF(B7="Blue",E7+4*100000-1*200000,E7+1*100000-4*200000)</f>
        <v>2700000</v>
      </c>
      <c r="G7" s="48">
        <v>3200000</v>
      </c>
      <c r="H7" s="48">
        <v>3350000</v>
      </c>
      <c r="I7" s="48">
        <v>3500000</v>
      </c>
      <c r="J7" s="48">
        <v>3500000</v>
      </c>
      <c r="K7" s="48">
        <f>IF(B7="Blue",J7+0*100000-1*200000,J7+1*100000-0*200000)</f>
        <v>3300000</v>
      </c>
      <c r="L7" s="48">
        <f>IF(B7="Blue",J7+0*100000-2*200000,J7+2*100000-0*200000)</f>
        <v>3100000</v>
      </c>
      <c r="M7" s="48">
        <v>3500000</v>
      </c>
      <c r="N7" s="48">
        <v>3800000</v>
      </c>
      <c r="O7" s="48">
        <v>3800000</v>
      </c>
      <c r="P7" s="48">
        <v>3800000</v>
      </c>
      <c r="Q7" s="48">
        <v>3800000</v>
      </c>
      <c r="R7" s="48">
        <f>Q7-O7</f>
        <v>0</v>
      </c>
    </row>
    <row r="8" spans="1:18" x14ac:dyDescent="0.25">
      <c r="A8">
        <v>7</v>
      </c>
      <c r="B8" s="46" t="s">
        <v>322</v>
      </c>
      <c r="C8" s="46">
        <v>598</v>
      </c>
      <c r="D8" s="46" t="s">
        <v>47</v>
      </c>
      <c r="E8" s="49">
        <v>3900000</v>
      </c>
      <c r="F8" s="49">
        <f>IF(B8="Blue",E8+4*100000-1*200000,E8+1*100000-4*200000)</f>
        <v>4100000</v>
      </c>
      <c r="G8" s="49">
        <v>3300000</v>
      </c>
      <c r="H8" s="49">
        <v>3300000</v>
      </c>
      <c r="I8" s="49">
        <v>3000000</v>
      </c>
      <c r="J8" s="49">
        <v>3050000</v>
      </c>
      <c r="K8" s="49">
        <f>IF(B8="Blue",J8+0*100000-1*200000,J8+1*100000-0*200000)</f>
        <v>2850000</v>
      </c>
      <c r="L8" s="49">
        <f>IF(B8="Blue",J8+0*100000-2*200000,J8+2*100000-0*200000)</f>
        <v>2650000</v>
      </c>
      <c r="M8" s="49">
        <v>3350000</v>
      </c>
      <c r="N8" s="49">
        <v>3450000</v>
      </c>
      <c r="O8" s="49">
        <v>3450000</v>
      </c>
      <c r="P8" s="49">
        <v>3450000</v>
      </c>
      <c r="Q8" s="49">
        <v>3450000</v>
      </c>
      <c r="R8" s="49">
        <f>Q8-O8</f>
        <v>0</v>
      </c>
    </row>
    <row r="9" spans="1:18" x14ac:dyDescent="0.25">
      <c r="A9">
        <v>8</v>
      </c>
      <c r="B9" s="46" t="s">
        <v>322</v>
      </c>
      <c r="C9" s="46">
        <v>556</v>
      </c>
      <c r="D9" s="46" t="s">
        <v>4</v>
      </c>
      <c r="E9" s="49">
        <v>4000000</v>
      </c>
      <c r="F9" s="49">
        <f>IF(B9="Blue",E9+4*100000-1*200000,E9+1*100000-4*200000)</f>
        <v>4200000</v>
      </c>
      <c r="G9" s="49">
        <v>4250000</v>
      </c>
      <c r="H9" s="49">
        <v>4250000</v>
      </c>
      <c r="I9" s="49">
        <v>4300000</v>
      </c>
      <c r="J9" s="49">
        <v>4300000</v>
      </c>
      <c r="K9" s="49">
        <f>IF(B9="Blue",J9+0*100000-1*200000,J9+1*100000-0*200000)</f>
        <v>4100000</v>
      </c>
      <c r="L9" s="49">
        <f>IF(B9="Blue",J9+0*100000-2*200000,J9+2*100000-0*200000)</f>
        <v>3900000</v>
      </c>
      <c r="M9" s="49">
        <v>3300000</v>
      </c>
      <c r="N9" s="49">
        <v>3450000</v>
      </c>
      <c r="O9" s="49">
        <v>3450000</v>
      </c>
      <c r="P9" s="49">
        <v>3100000</v>
      </c>
      <c r="Q9" s="49">
        <v>3100000</v>
      </c>
      <c r="R9" s="49">
        <f>Q9-O9</f>
        <v>-350000</v>
      </c>
    </row>
    <row r="10" spans="1:18" x14ac:dyDescent="0.25">
      <c r="A10">
        <v>9</v>
      </c>
      <c r="B10" s="46" t="s">
        <v>322</v>
      </c>
      <c r="C10" s="46">
        <v>556</v>
      </c>
      <c r="D10" s="46" t="s">
        <v>6</v>
      </c>
      <c r="E10" s="49">
        <v>3750000</v>
      </c>
      <c r="F10" s="49">
        <f>IF(B10="Blue",E10+4*100000-1*200000,E10+1*100000-4*200000)</f>
        <v>3950000</v>
      </c>
      <c r="G10" s="49">
        <v>3350000</v>
      </c>
      <c r="H10" s="49">
        <v>3400000</v>
      </c>
      <c r="I10" s="49">
        <v>2500000</v>
      </c>
      <c r="J10" s="49">
        <v>2550000</v>
      </c>
      <c r="K10" s="49">
        <f>IF(B10="Blue",J10+0*100000-1*200000,J10+1*100000-0*200000)</f>
        <v>2350000</v>
      </c>
      <c r="L10" s="49">
        <f>IF(B10="Blue",J10+0*100000-2*200000,J10+2*100000-0*200000)</f>
        <v>2150000</v>
      </c>
      <c r="M10" s="49">
        <v>2850000</v>
      </c>
      <c r="N10" s="49">
        <v>2950000</v>
      </c>
      <c r="O10" s="49">
        <v>2850000</v>
      </c>
      <c r="P10" s="49">
        <v>3050000</v>
      </c>
      <c r="Q10" s="49">
        <v>3050000</v>
      </c>
      <c r="R10" s="49">
        <f>Q10-O10</f>
        <v>200000</v>
      </c>
    </row>
    <row r="11" spans="1:18" x14ac:dyDescent="0.25">
      <c r="A11">
        <v>10</v>
      </c>
      <c r="B11" s="46" t="s">
        <v>322</v>
      </c>
      <c r="C11" s="46">
        <v>573</v>
      </c>
      <c r="D11" s="46" t="s">
        <v>26</v>
      </c>
      <c r="E11" s="49"/>
      <c r="F11" s="49"/>
      <c r="G11" s="49">
        <v>2300000</v>
      </c>
      <c r="H11" s="49">
        <v>2300000</v>
      </c>
      <c r="I11" s="49">
        <v>2600000</v>
      </c>
      <c r="J11" s="49">
        <v>2600000</v>
      </c>
      <c r="K11" s="49">
        <f>IF(B11="Blue",J11+0*100000-1*200000,J11+1*100000-0*200000)</f>
        <v>2400000</v>
      </c>
      <c r="L11" s="49">
        <f>IF(B11="Blue",J11+0*100000-2*200000,J11+2*100000-0*200000)</f>
        <v>2200000</v>
      </c>
      <c r="M11" s="49">
        <v>2600000</v>
      </c>
      <c r="N11" s="49">
        <v>2500000</v>
      </c>
      <c r="O11" s="49">
        <v>2700000</v>
      </c>
      <c r="P11" s="49">
        <v>2700000</v>
      </c>
      <c r="Q11" s="49">
        <v>2800000</v>
      </c>
      <c r="R11" s="49">
        <f>Q11-O11</f>
        <v>100000</v>
      </c>
    </row>
    <row r="12" spans="1:18" x14ac:dyDescent="0.25">
      <c r="A12">
        <v>11</v>
      </c>
      <c r="B12" s="17" t="s">
        <v>323</v>
      </c>
      <c r="C12" s="17">
        <v>662</v>
      </c>
      <c r="D12" s="17" t="s">
        <v>126</v>
      </c>
      <c r="E12" s="14">
        <v>3450000</v>
      </c>
      <c r="F12" s="14">
        <f>IF(B12="Blue",E12+4*100000-1*200000,E12+1*100000-4*200000)</f>
        <v>2750000</v>
      </c>
      <c r="G12" s="14">
        <v>2800000</v>
      </c>
      <c r="H12" s="14">
        <v>2800000</v>
      </c>
      <c r="I12" s="14">
        <v>2650000</v>
      </c>
      <c r="J12" s="14">
        <v>2700000</v>
      </c>
      <c r="K12" s="14">
        <f>IF(B12="Blue",J12+0*100000-1*200000,J12+1*100000-0*200000)</f>
        <v>2800000</v>
      </c>
      <c r="L12" s="14">
        <f>IF(B12="Blue",J12+0*100000-2*200000,J12+2*100000-0*200000)</f>
        <v>2900000</v>
      </c>
      <c r="M12" s="14">
        <v>2750000</v>
      </c>
      <c r="N12" s="14">
        <v>2550000</v>
      </c>
      <c r="O12" s="14">
        <v>2700000</v>
      </c>
      <c r="P12" s="14">
        <v>2600000</v>
      </c>
      <c r="Q12" s="14">
        <v>2700000</v>
      </c>
      <c r="R12" s="14">
        <f>Q12-O12</f>
        <v>0</v>
      </c>
    </row>
    <row r="13" spans="1:18" x14ac:dyDescent="0.25">
      <c r="A13">
        <v>12</v>
      </c>
      <c r="B13" s="17" t="s">
        <v>323</v>
      </c>
      <c r="C13" s="17">
        <v>638</v>
      </c>
      <c r="D13" s="17" t="s">
        <v>105</v>
      </c>
      <c r="E13" s="14">
        <v>2850000</v>
      </c>
      <c r="F13" s="14">
        <f>IF(B13="Blue",E13+4*100000-1*200000,E13+1*100000-4*200000)</f>
        <v>2150000</v>
      </c>
      <c r="G13" s="14">
        <v>2550000</v>
      </c>
      <c r="H13" s="14">
        <v>2550000</v>
      </c>
      <c r="I13" s="14">
        <v>2600000</v>
      </c>
      <c r="J13" s="14">
        <v>2600000</v>
      </c>
      <c r="K13" s="14">
        <f>IF(B13="Blue",J13+0*100000-1*200000,J13+1*100000-0*200000)</f>
        <v>2700000</v>
      </c>
      <c r="L13" s="14">
        <f>IF(B13="Blue",J13+0*100000-2*200000,J13+2*100000-0*200000)</f>
        <v>2800000</v>
      </c>
      <c r="M13" s="14">
        <v>2600000</v>
      </c>
      <c r="N13" s="14">
        <v>2400000</v>
      </c>
      <c r="O13" s="14">
        <v>2400000</v>
      </c>
      <c r="P13" s="14">
        <v>2600000</v>
      </c>
      <c r="Q13" s="14">
        <v>2600000</v>
      </c>
      <c r="R13" s="14">
        <f>Q13-O13</f>
        <v>200000</v>
      </c>
    </row>
    <row r="14" spans="1:18" x14ac:dyDescent="0.25">
      <c r="A14">
        <v>13</v>
      </c>
      <c r="B14" s="46" t="s">
        <v>322</v>
      </c>
      <c r="C14" s="46">
        <v>573</v>
      </c>
      <c r="D14" s="46" t="s">
        <v>25</v>
      </c>
      <c r="E14" s="49"/>
      <c r="F14" s="49">
        <f>IF(B14="Blue",G14+4*100000-1*200000,G14+1*100000-4*200000)</f>
        <v>2750000</v>
      </c>
      <c r="G14" s="49">
        <v>2550000</v>
      </c>
      <c r="H14" s="49">
        <v>2550000</v>
      </c>
      <c r="I14" s="49">
        <v>2600000</v>
      </c>
      <c r="J14" s="49">
        <v>2650000</v>
      </c>
      <c r="K14" s="49">
        <f>IF(B14="Blue",J14+0*100000-1*200000,J14+1*100000-0*200000)</f>
        <v>2450000</v>
      </c>
      <c r="L14" s="49">
        <f>IF(B14="Blue",J14+0*100000-2*200000,J14+2*100000-0*200000)</f>
        <v>2250000</v>
      </c>
      <c r="M14" s="49">
        <v>2650000</v>
      </c>
      <c r="N14" s="49">
        <v>2750000</v>
      </c>
      <c r="O14" s="49">
        <v>2900000</v>
      </c>
      <c r="P14" s="49">
        <v>2500000</v>
      </c>
      <c r="Q14" s="49">
        <v>2600000</v>
      </c>
      <c r="R14" s="49">
        <f>Q14-O14</f>
        <v>-300000</v>
      </c>
    </row>
    <row r="15" spans="1:18" x14ac:dyDescent="0.25">
      <c r="A15">
        <v>14</v>
      </c>
      <c r="B15" s="46" t="s">
        <v>322</v>
      </c>
      <c r="C15" s="46">
        <v>573</v>
      </c>
      <c r="D15" s="46" t="s">
        <v>27</v>
      </c>
      <c r="E15" s="49"/>
      <c r="F15" s="49"/>
      <c r="G15" s="49">
        <v>2500000</v>
      </c>
      <c r="H15" s="49">
        <v>2250000</v>
      </c>
      <c r="I15" s="49">
        <v>2300000</v>
      </c>
      <c r="J15" s="49">
        <v>2300000</v>
      </c>
      <c r="K15" s="49">
        <f>IF(B15="Blue",J15+0*100000-1*200000,J15+1*100000-0*200000)</f>
        <v>2100000</v>
      </c>
      <c r="L15" s="49">
        <f>IF(B15="Blue",J15+0*100000-2*200000,J15+2*100000-0*200000)</f>
        <v>1900000</v>
      </c>
      <c r="M15" s="49">
        <v>2300000</v>
      </c>
      <c r="N15" s="49">
        <v>2400000</v>
      </c>
      <c r="O15" s="49">
        <v>2500000</v>
      </c>
      <c r="P15" s="49">
        <v>2500000</v>
      </c>
      <c r="Q15" s="49">
        <v>2500000</v>
      </c>
      <c r="R15" s="49">
        <f>Q15-O15</f>
        <v>0</v>
      </c>
    </row>
    <row r="16" spans="1:18" x14ac:dyDescent="0.25">
      <c r="A16">
        <v>15</v>
      </c>
      <c r="B16" s="17" t="s">
        <v>323</v>
      </c>
      <c r="C16" s="17">
        <v>638</v>
      </c>
      <c r="D16" s="17" t="s">
        <v>108</v>
      </c>
      <c r="E16" s="14">
        <v>3400000</v>
      </c>
      <c r="F16" s="14">
        <f>IF(B16="Blue",E16+4*100000-1*200000,E16+1*100000-4*200000)</f>
        <v>2700000</v>
      </c>
      <c r="G16" s="14">
        <v>3000000</v>
      </c>
      <c r="H16" s="14">
        <v>2700000</v>
      </c>
      <c r="I16" s="14">
        <v>2500000</v>
      </c>
      <c r="J16" s="14">
        <v>2500000</v>
      </c>
      <c r="K16" s="14">
        <f>IF(B16="Blue",J16+0*100000-1*200000,J16+1*100000-0*200000)</f>
        <v>2600000</v>
      </c>
      <c r="L16" s="14">
        <f>IF(B16="Blue",J16+0*100000-2*200000,J16+2*100000-0*200000)</f>
        <v>2700000</v>
      </c>
      <c r="M16" s="14">
        <v>2500000</v>
      </c>
      <c r="N16" s="14">
        <v>2300000</v>
      </c>
      <c r="O16" s="14">
        <v>2300000</v>
      </c>
      <c r="P16" s="14">
        <v>2400000</v>
      </c>
      <c r="Q16" s="14">
        <v>2400000</v>
      </c>
      <c r="R16" s="14">
        <f>Q16-O16</f>
        <v>100000</v>
      </c>
    </row>
    <row r="17" spans="1:18" x14ac:dyDescent="0.25">
      <c r="A17">
        <v>16</v>
      </c>
      <c r="B17" s="17" t="s">
        <v>323</v>
      </c>
      <c r="C17" s="17">
        <v>662</v>
      </c>
      <c r="D17" s="17" t="s">
        <v>125</v>
      </c>
      <c r="E17" s="14">
        <v>2350000</v>
      </c>
      <c r="F17" s="14">
        <f>IF(B17="Blue",E17+4*100000-1*200000,E17+1*100000-4*200000)</f>
        <v>1650000</v>
      </c>
      <c r="G17" s="14">
        <v>2150000</v>
      </c>
      <c r="H17" s="14">
        <v>2450000</v>
      </c>
      <c r="I17" s="14">
        <v>2450000</v>
      </c>
      <c r="J17" s="14">
        <v>2500000</v>
      </c>
      <c r="K17" s="14">
        <f>IF(B17="Blue",J17+0*100000-1*200000,J17+1*100000-0*200000)</f>
        <v>2600000</v>
      </c>
      <c r="L17" s="14">
        <f>IF(B17="Blue",J17+0*100000-2*200000,J17+2*100000-0*200000)</f>
        <v>2700000</v>
      </c>
      <c r="M17" s="14">
        <v>2500000</v>
      </c>
      <c r="N17" s="14">
        <v>2300000</v>
      </c>
      <c r="O17" s="14">
        <v>2300000</v>
      </c>
      <c r="P17" s="14">
        <v>2350000</v>
      </c>
      <c r="Q17" s="14">
        <v>2350000</v>
      </c>
      <c r="R17" s="14">
        <f>Q17-O17</f>
        <v>50000</v>
      </c>
    </row>
    <row r="18" spans="1:18" x14ac:dyDescent="0.25">
      <c r="A18">
        <v>17</v>
      </c>
      <c r="B18" s="46" t="s">
        <v>322</v>
      </c>
      <c r="C18" s="46">
        <v>556</v>
      </c>
      <c r="D18" s="46" t="s">
        <v>10</v>
      </c>
      <c r="E18" s="49">
        <v>2500000</v>
      </c>
      <c r="F18" s="49">
        <f>IF(B18="Blue",E18+4*100000-1*200000,E18+1*100000-4*200000)</f>
        <v>2700000</v>
      </c>
      <c r="G18" s="49">
        <v>2650000</v>
      </c>
      <c r="H18" s="49">
        <v>2650000</v>
      </c>
      <c r="I18" s="49">
        <v>2250000</v>
      </c>
      <c r="J18" s="49">
        <v>2250000</v>
      </c>
      <c r="K18" s="49">
        <f>IF(B18="Blue",J18+0*100000-1*200000,J18+1*100000-0*200000)</f>
        <v>2050000</v>
      </c>
      <c r="L18" s="49">
        <f>IF(B18="Blue",J18+0*100000-2*200000,J18+2*100000-0*200000)</f>
        <v>1850000</v>
      </c>
      <c r="M18" s="49">
        <v>2250000</v>
      </c>
      <c r="N18" s="49">
        <v>2400000</v>
      </c>
      <c r="O18" s="49">
        <v>2400000</v>
      </c>
      <c r="P18" s="49">
        <v>2300000</v>
      </c>
      <c r="Q18" s="49">
        <v>2350000</v>
      </c>
      <c r="R18" s="49">
        <f>Q18-O18</f>
        <v>-50000</v>
      </c>
    </row>
    <row r="19" spans="1:18" x14ac:dyDescent="0.25">
      <c r="A19">
        <v>18</v>
      </c>
      <c r="B19" s="17" t="s">
        <v>323</v>
      </c>
      <c r="C19" s="17">
        <v>603</v>
      </c>
      <c r="D19" s="17" t="s">
        <v>65</v>
      </c>
      <c r="E19" s="14">
        <v>2700000</v>
      </c>
      <c r="F19" s="14">
        <f>IF(B19="Blue",E19+4*100000-1*200000,E19+1*100000-4*200000)</f>
        <v>2000000</v>
      </c>
      <c r="G19" s="14">
        <v>2800000</v>
      </c>
      <c r="H19" s="14">
        <v>2800000</v>
      </c>
      <c r="I19" s="14">
        <v>2700000</v>
      </c>
      <c r="J19" s="14">
        <v>2700000</v>
      </c>
      <c r="K19" s="14">
        <f>IF(B19="Blue",J19+0*100000-1*200000,J19+1*100000-0*200000)</f>
        <v>2800000</v>
      </c>
      <c r="L19" s="14">
        <f>IF(B19="Blue",J19+0*100000-2*200000,J19+2*100000-0*200000)</f>
        <v>2900000</v>
      </c>
      <c r="M19" s="14">
        <v>2700000</v>
      </c>
      <c r="N19" s="14">
        <v>2100000</v>
      </c>
      <c r="O19" s="14">
        <v>2100000</v>
      </c>
      <c r="P19" s="14">
        <v>2250000</v>
      </c>
      <c r="Q19" s="14">
        <v>2250000</v>
      </c>
      <c r="R19" s="14">
        <f>Q19-O19</f>
        <v>150000</v>
      </c>
    </row>
    <row r="20" spans="1:18" x14ac:dyDescent="0.25">
      <c r="A20">
        <v>19</v>
      </c>
      <c r="B20" s="17" t="s">
        <v>323</v>
      </c>
      <c r="C20" s="17">
        <v>638</v>
      </c>
      <c r="D20" s="17" t="s">
        <v>106</v>
      </c>
      <c r="E20" s="14">
        <v>4500000</v>
      </c>
      <c r="F20" s="14">
        <f>IF(B20="Blue",E20+4*100000-1*200000,E20+1*100000-4*200000)</f>
        <v>3800000</v>
      </c>
      <c r="G20" s="14">
        <v>2800000</v>
      </c>
      <c r="H20" s="14">
        <v>2800000</v>
      </c>
      <c r="I20" s="14">
        <v>2200000</v>
      </c>
      <c r="J20" s="14">
        <v>2500000</v>
      </c>
      <c r="K20" s="14">
        <f>IF(B20="Blue",J20+0*100000-1*200000,J20+1*100000-0*200000)</f>
        <v>2600000</v>
      </c>
      <c r="L20" s="14">
        <f>IF(B20="Blue",J20+0*100000-2*200000,J20+2*100000-0*200000)</f>
        <v>2700000</v>
      </c>
      <c r="M20" s="14">
        <v>2650000</v>
      </c>
      <c r="N20" s="14">
        <v>2150000</v>
      </c>
      <c r="O20" s="14">
        <v>2150000</v>
      </c>
      <c r="P20" s="14">
        <v>2200000</v>
      </c>
      <c r="Q20" s="14">
        <v>2200000</v>
      </c>
      <c r="R20" s="14">
        <f>Q20-O20</f>
        <v>50000</v>
      </c>
    </row>
    <row r="21" spans="1:18" x14ac:dyDescent="0.25">
      <c r="A21">
        <v>20</v>
      </c>
      <c r="B21" s="17" t="s">
        <v>323</v>
      </c>
      <c r="C21" s="17">
        <v>683</v>
      </c>
      <c r="D21" s="17" t="s">
        <v>110</v>
      </c>
      <c r="E21" s="14">
        <v>3400000</v>
      </c>
      <c r="F21" s="14">
        <f>IF(B21="Blue",E21+4*100000-1*200000,E21+1*100000-4*200000)</f>
        <v>2700000</v>
      </c>
      <c r="G21" s="14">
        <v>2050000</v>
      </c>
      <c r="H21" s="14">
        <v>2050000</v>
      </c>
      <c r="I21" s="14">
        <v>2050000</v>
      </c>
      <c r="J21" s="14">
        <v>2100000</v>
      </c>
      <c r="K21" s="14">
        <f>IF(B21="Blue",J21+0*100000-1*200000,J21+1*100000-0*200000)</f>
        <v>2200000</v>
      </c>
      <c r="L21" s="14">
        <f>IF(B21="Blue",J21+0*100000-2*200000,J21+2*100000-0*200000)</f>
        <v>2300000</v>
      </c>
      <c r="M21" s="14">
        <v>2100000</v>
      </c>
      <c r="N21" s="14">
        <v>1950000</v>
      </c>
      <c r="O21" s="14">
        <v>2000000</v>
      </c>
      <c r="P21" s="14">
        <v>2000000</v>
      </c>
      <c r="Q21" s="14">
        <v>2000000</v>
      </c>
      <c r="R21" s="14">
        <f>Q21-O21</f>
        <v>0</v>
      </c>
    </row>
    <row r="22" spans="1:18" x14ac:dyDescent="0.25">
      <c r="A22">
        <v>26</v>
      </c>
      <c r="B22" s="46" t="s">
        <v>322</v>
      </c>
      <c r="C22" s="46">
        <v>598</v>
      </c>
      <c r="D22" s="46" t="s">
        <v>12</v>
      </c>
      <c r="E22" s="46"/>
      <c r="F22" s="46"/>
      <c r="G22" s="49">
        <v>2200000</v>
      </c>
      <c r="H22" s="49">
        <v>2200000</v>
      </c>
      <c r="I22" s="49">
        <v>1700000</v>
      </c>
      <c r="J22" s="49">
        <v>1750000</v>
      </c>
      <c r="K22" s="49">
        <f>IF(B22="Blue",J22+0*100000-1*200000,J22+1*100000-0*200000)</f>
        <v>1550000</v>
      </c>
      <c r="L22" s="49">
        <f>IF(B22="Blue",J22+0*100000-2*200000,J22+2*100000-0*200000)</f>
        <v>1350000</v>
      </c>
      <c r="M22" s="49">
        <v>1450000</v>
      </c>
      <c r="N22" s="49">
        <v>1550000</v>
      </c>
      <c r="O22" s="49">
        <v>1600000</v>
      </c>
      <c r="P22" s="49">
        <v>1600000</v>
      </c>
      <c r="Q22" s="49">
        <v>1600000</v>
      </c>
      <c r="R22" s="49">
        <f>Q22-O22</f>
        <v>0</v>
      </c>
    </row>
    <row r="23" spans="1:18" x14ac:dyDescent="0.25">
      <c r="A23">
        <v>29</v>
      </c>
      <c r="B23" s="17" t="s">
        <v>323</v>
      </c>
      <c r="C23" s="17">
        <v>638</v>
      </c>
      <c r="D23" s="17" t="s">
        <v>107</v>
      </c>
      <c r="E23" s="14">
        <v>3450000</v>
      </c>
      <c r="F23" s="14">
        <f>IF(B23="Blue",E23+4*100000-1*200000,E23+1*100000-4*200000)</f>
        <v>2750000</v>
      </c>
      <c r="G23" s="14">
        <v>1750000</v>
      </c>
      <c r="H23" s="14">
        <v>1900000</v>
      </c>
      <c r="I23" s="14">
        <v>1950000</v>
      </c>
      <c r="J23" s="14">
        <v>1950000</v>
      </c>
      <c r="K23" s="14">
        <f>IF(B23="Blue",J23+0*100000-1*200000,J23+1*100000-0*200000)</f>
        <v>2050000</v>
      </c>
      <c r="L23" s="14">
        <f>IF(B23="Blue",J23+0*100000-2*200000,J23+2*100000-0*200000)</f>
        <v>2150000</v>
      </c>
      <c r="M23" s="14">
        <v>1650000</v>
      </c>
      <c r="N23" s="14">
        <v>1450000</v>
      </c>
      <c r="O23" s="14">
        <v>1450000</v>
      </c>
      <c r="P23" s="14">
        <v>1450000</v>
      </c>
      <c r="Q23" s="14">
        <v>1450000</v>
      </c>
      <c r="R23" s="14">
        <f>Q23-O23</f>
        <v>0</v>
      </c>
    </row>
    <row r="24" spans="1:18" x14ac:dyDescent="0.25">
      <c r="A24">
        <v>33</v>
      </c>
      <c r="B24" s="17" t="s">
        <v>323</v>
      </c>
      <c r="C24" s="17">
        <v>638</v>
      </c>
      <c r="D24" s="17" t="s">
        <v>109</v>
      </c>
      <c r="E24" s="14">
        <v>2850000</v>
      </c>
      <c r="F24" s="14">
        <f>IF(B24="Blue",E24+4*100000-1*200000,E24+1*100000-4*200000)</f>
        <v>2150000</v>
      </c>
      <c r="G24" s="14">
        <v>1750000</v>
      </c>
      <c r="H24" s="14">
        <v>1750000</v>
      </c>
      <c r="I24" s="14">
        <v>1500000</v>
      </c>
      <c r="J24" s="14">
        <v>1500000</v>
      </c>
      <c r="K24" s="14">
        <f>IF(B24="Blue",J24+0*100000-1*200000,J24+1*100000-0*200000)</f>
        <v>1600000</v>
      </c>
      <c r="L24" s="14">
        <f>IF(B24="Blue",J24+0*100000-2*200000,J24+2*100000-0*200000)</f>
        <v>1700000</v>
      </c>
      <c r="M24" s="14">
        <v>1550000</v>
      </c>
      <c r="N24" s="14">
        <v>1350000</v>
      </c>
      <c r="O24" s="14">
        <v>1350000</v>
      </c>
      <c r="P24" s="14">
        <v>1350000</v>
      </c>
      <c r="Q24" s="14">
        <v>1350000</v>
      </c>
      <c r="R24" s="14">
        <f>Q24-O24</f>
        <v>0</v>
      </c>
    </row>
    <row r="25" spans="1:18" x14ac:dyDescent="0.25">
      <c r="A25">
        <v>34</v>
      </c>
      <c r="B25" s="17" t="s">
        <v>323</v>
      </c>
      <c r="C25" s="17">
        <v>662</v>
      </c>
      <c r="D25" s="17" t="s">
        <v>127</v>
      </c>
      <c r="E25" s="14">
        <v>2350000</v>
      </c>
      <c r="F25" s="14">
        <f>IF(B25="Blue",E25+4*100000-1*200000,E25+1*100000-4*200000)</f>
        <v>1650000</v>
      </c>
      <c r="G25" s="14">
        <v>1900000</v>
      </c>
      <c r="H25" s="14">
        <v>1900000</v>
      </c>
      <c r="I25" s="14">
        <v>2000000</v>
      </c>
      <c r="J25" s="14">
        <v>2000000</v>
      </c>
      <c r="K25" s="14">
        <f>IF(B25="Blue",J25+0*100000-1*200000,J25+1*100000-0*200000)</f>
        <v>2100000</v>
      </c>
      <c r="L25" s="14">
        <f>IF(B25="Blue",J25+0*100000-2*200000,J25+2*100000-0*200000)</f>
        <v>2200000</v>
      </c>
      <c r="M25" s="14">
        <v>2050000</v>
      </c>
      <c r="N25" s="14">
        <v>1550000</v>
      </c>
      <c r="O25" s="14">
        <v>1300000</v>
      </c>
      <c r="P25" s="14">
        <v>1300000</v>
      </c>
      <c r="Q25" s="14">
        <v>1300000</v>
      </c>
      <c r="R25" s="14">
        <f>Q25-O25</f>
        <v>0</v>
      </c>
    </row>
    <row r="27" spans="1:18" x14ac:dyDescent="0.25">
      <c r="R27" s="49">
        <f>SUM(R2:R11)+R15+R14+R18+R22</f>
        <v>-400000</v>
      </c>
    </row>
    <row r="28" spans="1:18" x14ac:dyDescent="0.25">
      <c r="R28" s="14">
        <f>R12+R13+R16+R17+R19+R20+R21+R23+R24+R25</f>
        <v>550000</v>
      </c>
    </row>
  </sheetData>
  <autoFilter ref="B1:R25" xr:uid="{E95293F4-C3B6-4AD2-8A6F-1BB9100C9A75}">
    <sortState xmlns:xlrd2="http://schemas.microsoft.com/office/spreadsheetml/2017/richdata2" ref="B2:R25">
      <sortCondition descending="1" ref="Q1:Q25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overview</vt:lpstr>
      <vt:lpstr>Alliances</vt:lpstr>
      <vt:lpstr>Players</vt:lpstr>
      <vt:lpstr>pacts</vt:lpstr>
      <vt:lpstr>cities</vt:lpstr>
      <vt:lpstr>Influence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Arendt</dc:creator>
  <cp:lastModifiedBy>Stefan Arendt</cp:lastModifiedBy>
  <dcterms:created xsi:type="dcterms:W3CDTF">2026-04-27T05:48:47Z</dcterms:created>
  <dcterms:modified xsi:type="dcterms:W3CDTF">2026-06-25T01:18:15Z</dcterms:modified>
</cp:coreProperties>
</file>